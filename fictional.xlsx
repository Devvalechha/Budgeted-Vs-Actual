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ock data\"/>
    </mc:Choice>
  </mc:AlternateContent>
  <xr:revisionPtr revIDLastSave="0" documentId="13_ncr:1_{C7B4FE02-19E4-49E0-AFDF-7BCADB31A0FA}" xr6:coauthVersionLast="47" xr6:coauthVersionMax="47" xr10:uidLastSave="{00000000-0000-0000-0000-000000000000}"/>
  <bookViews>
    <workbookView xWindow="-108" yWindow="-108" windowWidth="23256" windowHeight="12456" xr2:uid="{8E26AA05-ED61-4DFC-AF5C-E8E542DAEDFB}"/>
  </bookViews>
  <sheets>
    <sheet name="Visual Summary " sheetId="6" r:id="rId1"/>
    <sheet name="Dashboard" sheetId="3" r:id="rId2"/>
    <sheet name="Derived Data" sheetId="1" r:id="rId3"/>
    <sheet name="Raw Data" sheetId="7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3" l="1"/>
  <c r="F5" i="3"/>
  <c r="D37" i="3"/>
  <c r="C37" i="3"/>
  <c r="C30" i="3"/>
  <c r="B30" i="3"/>
  <c r="G6" i="3"/>
  <c r="G7" i="3"/>
  <c r="G8" i="3"/>
  <c r="G9" i="3"/>
  <c r="G10" i="3"/>
  <c r="G11" i="3"/>
  <c r="G12" i="3"/>
  <c r="G13" i="3"/>
  <c r="G14" i="3"/>
  <c r="G15" i="3"/>
  <c r="G16" i="3"/>
  <c r="G5" i="3"/>
  <c r="F6" i="3"/>
  <c r="F7" i="3"/>
  <c r="F8" i="3"/>
  <c r="F9" i="3"/>
  <c r="F10" i="3"/>
  <c r="F11" i="3"/>
  <c r="F12" i="3"/>
  <c r="F13" i="3"/>
  <c r="F14" i="3"/>
  <c r="F15" i="3"/>
  <c r="F16" i="3"/>
  <c r="D6" i="3"/>
  <c r="D7" i="3"/>
  <c r="D8" i="3"/>
  <c r="D9" i="3"/>
  <c r="D10" i="3"/>
  <c r="D11" i="3"/>
  <c r="D12" i="3"/>
  <c r="D13" i="3"/>
  <c r="D14" i="3"/>
  <c r="D15" i="3"/>
  <c r="D16" i="3"/>
  <c r="D5" i="3"/>
  <c r="C6" i="3"/>
  <c r="C7" i="3"/>
  <c r="C8" i="3"/>
  <c r="C9" i="3"/>
  <c r="C10" i="3"/>
  <c r="C11" i="3"/>
  <c r="C12" i="3"/>
  <c r="C13" i="3"/>
  <c r="C14" i="3"/>
  <c r="C15" i="3"/>
  <c r="C16" i="3"/>
  <c r="C5" i="3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R21" i="1" s="1"/>
  <c r="Q22" i="1"/>
  <c r="Q23" i="1"/>
  <c r="Q24" i="1"/>
  <c r="Q25" i="1"/>
  <c r="Q26" i="1"/>
  <c r="Q27" i="1"/>
  <c r="Q28" i="1"/>
  <c r="Q29" i="1"/>
  <c r="Q30" i="1"/>
  <c r="Q31" i="1"/>
  <c r="Q32" i="1"/>
  <c r="Q33" i="1"/>
  <c r="R33" i="1" s="1"/>
  <c r="Q34" i="1"/>
  <c r="Q35" i="1"/>
  <c r="Q36" i="1"/>
  <c r="Q37" i="1"/>
  <c r="Q38" i="1"/>
  <c r="R38" i="1" s="1"/>
  <c r="Q39" i="1"/>
  <c r="Q40" i="1"/>
  <c r="Q41" i="1"/>
  <c r="Q42" i="1"/>
  <c r="Q43" i="1"/>
  <c r="Q44" i="1"/>
  <c r="Q45" i="1"/>
  <c r="R45" i="1" s="1"/>
  <c r="Q46" i="1"/>
  <c r="Q47" i="1"/>
  <c r="Q48" i="1"/>
  <c r="Q49" i="1"/>
  <c r="R49" i="1" s="1"/>
  <c r="Q50" i="1"/>
  <c r="R50" i="1" s="1"/>
  <c r="Q51" i="1"/>
  <c r="R51" i="1" s="1"/>
  <c r="Q52" i="1"/>
  <c r="Q53" i="1"/>
  <c r="P7" i="1"/>
  <c r="P8" i="1"/>
  <c r="P9" i="1"/>
  <c r="P10" i="1"/>
  <c r="P11" i="1"/>
  <c r="P12" i="1"/>
  <c r="P13" i="1"/>
  <c r="R13" i="1" s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R28" i="1" s="1"/>
  <c r="P29" i="1"/>
  <c r="P30" i="1"/>
  <c r="P31" i="1"/>
  <c r="P32" i="1"/>
  <c r="P33" i="1"/>
  <c r="P34" i="1"/>
  <c r="P35" i="1"/>
  <c r="P36" i="1"/>
  <c r="P37" i="1"/>
  <c r="P38" i="1"/>
  <c r="P39" i="1"/>
  <c r="P40" i="1"/>
  <c r="R40" i="1" s="1"/>
  <c r="P41" i="1"/>
  <c r="P42" i="1"/>
  <c r="P43" i="1"/>
  <c r="P44" i="1"/>
  <c r="P45" i="1"/>
  <c r="P46" i="1"/>
  <c r="P47" i="1"/>
  <c r="P48" i="1"/>
  <c r="P49" i="1"/>
  <c r="P50" i="1"/>
  <c r="P51" i="1"/>
  <c r="P52" i="1"/>
  <c r="R52" i="1" s="1"/>
  <c r="P53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M7" i="1"/>
  <c r="M8" i="1"/>
  <c r="M9" i="1"/>
  <c r="M10" i="1"/>
  <c r="M11" i="1"/>
  <c r="M12" i="1"/>
  <c r="M13" i="1"/>
  <c r="M14" i="1"/>
  <c r="O14" i="1" s="1"/>
  <c r="M15" i="1"/>
  <c r="O15" i="1" s="1"/>
  <c r="M16" i="1"/>
  <c r="M17" i="1"/>
  <c r="M18" i="1"/>
  <c r="O18" i="1" s="1"/>
  <c r="M19" i="1"/>
  <c r="M20" i="1"/>
  <c r="M21" i="1"/>
  <c r="M22" i="1"/>
  <c r="M23" i="1"/>
  <c r="M24" i="1"/>
  <c r="M25" i="1"/>
  <c r="M26" i="1"/>
  <c r="O26" i="1" s="1"/>
  <c r="M27" i="1"/>
  <c r="O27" i="1" s="1"/>
  <c r="M28" i="1"/>
  <c r="M29" i="1"/>
  <c r="M30" i="1"/>
  <c r="M31" i="1"/>
  <c r="M32" i="1"/>
  <c r="M33" i="1"/>
  <c r="M34" i="1"/>
  <c r="M35" i="1"/>
  <c r="M36" i="1"/>
  <c r="M37" i="1"/>
  <c r="M38" i="1"/>
  <c r="O38" i="1" s="1"/>
  <c r="M39" i="1"/>
  <c r="O39" i="1" s="1"/>
  <c r="M40" i="1"/>
  <c r="M41" i="1"/>
  <c r="M42" i="1"/>
  <c r="M43" i="1"/>
  <c r="M44" i="1"/>
  <c r="M45" i="1"/>
  <c r="M46" i="1"/>
  <c r="M47" i="1"/>
  <c r="M48" i="1"/>
  <c r="M49" i="1"/>
  <c r="M50" i="1"/>
  <c r="O50" i="1" s="1"/>
  <c r="M51" i="1"/>
  <c r="O51" i="1" s="1"/>
  <c r="M52" i="1"/>
  <c r="M53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Q6" i="1"/>
  <c r="P6" i="1"/>
  <c r="N6" i="1"/>
  <c r="F22" i="3" s="1"/>
  <c r="M6" i="1"/>
  <c r="E22" i="3" s="1"/>
  <c r="L6" i="1"/>
  <c r="K6" i="1"/>
  <c r="C22" i="3" s="1"/>
  <c r="B6" i="3"/>
  <c r="R53" i="1" l="1"/>
  <c r="R41" i="1"/>
  <c r="R29" i="1"/>
  <c r="R17" i="1"/>
  <c r="C25" i="3"/>
  <c r="O52" i="1"/>
  <c r="R25" i="1"/>
  <c r="R37" i="1"/>
  <c r="R47" i="1"/>
  <c r="R35" i="1"/>
  <c r="R23" i="1"/>
  <c r="R11" i="1"/>
  <c r="R46" i="1"/>
  <c r="R34" i="1"/>
  <c r="R22" i="1"/>
  <c r="R9" i="1"/>
  <c r="F25" i="3"/>
  <c r="C23" i="3"/>
  <c r="D22" i="3"/>
  <c r="G22" i="3" s="1"/>
  <c r="F24" i="3"/>
  <c r="R42" i="1"/>
  <c r="R30" i="1"/>
  <c r="R18" i="1"/>
  <c r="D25" i="3"/>
  <c r="F23" i="3"/>
  <c r="D24" i="3"/>
  <c r="O19" i="1"/>
  <c r="E23" i="3"/>
  <c r="R16" i="1"/>
  <c r="C24" i="3"/>
  <c r="D23" i="3"/>
  <c r="R26" i="1"/>
  <c r="R14" i="1"/>
  <c r="E37" i="3"/>
  <c r="F37" i="3" s="1"/>
  <c r="O44" i="1"/>
  <c r="O32" i="1"/>
  <c r="O20" i="1"/>
  <c r="O8" i="1"/>
  <c r="O43" i="1"/>
  <c r="O31" i="1"/>
  <c r="R44" i="1"/>
  <c r="R32" i="1"/>
  <c r="R20" i="1"/>
  <c r="R8" i="1"/>
  <c r="O45" i="1"/>
  <c r="O33" i="1"/>
  <c r="O21" i="1"/>
  <c r="O9" i="1"/>
  <c r="O42" i="1"/>
  <c r="O30" i="1"/>
  <c r="R43" i="1"/>
  <c r="R31" i="1"/>
  <c r="R19" i="1"/>
  <c r="R7" i="1"/>
  <c r="E25" i="3"/>
  <c r="O53" i="1"/>
  <c r="O41" i="1"/>
  <c r="O29" i="1"/>
  <c r="O17" i="1"/>
  <c r="O7" i="1"/>
  <c r="E24" i="3"/>
  <c r="R10" i="1"/>
  <c r="R6" i="1"/>
  <c r="O40" i="1"/>
  <c r="O28" i="1"/>
  <c r="O16" i="1"/>
  <c r="R39" i="1"/>
  <c r="R27" i="1"/>
  <c r="R15" i="1"/>
  <c r="R48" i="1"/>
  <c r="R36" i="1"/>
  <c r="R24" i="1"/>
  <c r="R12" i="1"/>
  <c r="O25" i="1"/>
  <c r="O37" i="1"/>
  <c r="O48" i="1"/>
  <c r="O36" i="1"/>
  <c r="O24" i="1"/>
  <c r="O12" i="1"/>
  <c r="O47" i="1"/>
  <c r="O35" i="1"/>
  <c r="O23" i="1"/>
  <c r="O11" i="1"/>
  <c r="O46" i="1"/>
  <c r="O34" i="1"/>
  <c r="O22" i="1"/>
  <c r="O10" i="1"/>
  <c r="O13" i="1"/>
  <c r="O6" i="1"/>
  <c r="O49" i="1"/>
  <c r="B7" i="3"/>
  <c r="G25" i="3" l="1"/>
  <c r="H25" i="3" s="1"/>
  <c r="F26" i="3"/>
  <c r="C26" i="3"/>
  <c r="C36" i="3" s="1"/>
  <c r="C38" i="3" s="1"/>
  <c r="C39" i="3" s="1"/>
  <c r="G23" i="3"/>
  <c r="H23" i="3" s="1"/>
  <c r="G24" i="3"/>
  <c r="H24" i="3" s="1"/>
  <c r="E5" i="3"/>
  <c r="H5" i="3" s="1"/>
  <c r="D26" i="3"/>
  <c r="D36" i="3" s="1"/>
  <c r="D38" i="3" s="1"/>
  <c r="D39" i="3" s="1"/>
  <c r="E26" i="3"/>
  <c r="E30" i="3"/>
  <c r="H22" i="3"/>
  <c r="E6" i="3"/>
  <c r="H6" i="3" s="1"/>
  <c r="B8" i="3"/>
  <c r="E39" i="3" l="1"/>
  <c r="G26" i="3"/>
  <c r="E36" i="3" s="1"/>
  <c r="F36" i="3" s="1"/>
  <c r="B9" i="3"/>
  <c r="E7" i="3"/>
  <c r="H7" i="3" s="1"/>
  <c r="E38" i="3" l="1"/>
  <c r="B10" i="3"/>
  <c r="E8" i="3"/>
  <c r="H8" i="3" s="1"/>
  <c r="F38" i="3" l="1"/>
  <c r="E9" i="3"/>
  <c r="H9" i="3" s="1"/>
  <c r="B11" i="3"/>
  <c r="B12" i="3" l="1"/>
  <c r="E10" i="3"/>
  <c r="H10" i="3" s="1"/>
  <c r="E11" i="3" l="1"/>
  <c r="H11" i="3" s="1"/>
  <c r="B13" i="3"/>
  <c r="E12" i="3" l="1"/>
  <c r="H12" i="3" s="1"/>
  <c r="B14" i="3"/>
  <c r="E13" i="3" l="1"/>
  <c r="H13" i="3" s="1"/>
  <c r="B15" i="3"/>
  <c r="E14" i="3" l="1"/>
  <c r="H14" i="3" s="1"/>
  <c r="B16" i="3"/>
  <c r="E15" i="3" l="1"/>
  <c r="H15" i="3" s="1"/>
  <c r="E16" i="3" l="1"/>
  <c r="H16" i="3" s="1"/>
</calcChain>
</file>

<file path=xl/sharedStrings.xml><?xml version="1.0" encoding="utf-8"?>
<sst xmlns="http://schemas.openxmlformats.org/spreadsheetml/2006/main" count="163" uniqueCount="52">
  <si>
    <t>FMCG Budget vs Actual Data | FY 2024-25</t>
  </si>
  <si>
    <t>Month</t>
  </si>
  <si>
    <t>Product Category</t>
  </si>
  <si>
    <t>Budget Volume (Units)</t>
  </si>
  <si>
    <t>Actual Volume (Units)</t>
  </si>
  <si>
    <t>Budget Price (Rs/Unit)</t>
  </si>
  <si>
    <t>Actual Price (Rs/Unit)</t>
  </si>
  <si>
    <t>Budget COGS (Rs/Unit)</t>
  </si>
  <si>
    <t>Actual COGS (Rs/Unit)</t>
  </si>
  <si>
    <t>Budget Fixed Overhead (Rs)</t>
  </si>
  <si>
    <t>Actual Fixed Overhead (Rs)</t>
  </si>
  <si>
    <t>Green Tea (250g)</t>
  </si>
  <si>
    <t>Oats (500g)</t>
  </si>
  <si>
    <t>Peanut Butter (400g)</t>
  </si>
  <si>
    <t>Olive Oil (1L)</t>
  </si>
  <si>
    <t>Budgeted Revenue (Rs)</t>
  </si>
  <si>
    <t>Volume Variance</t>
  </si>
  <si>
    <t>Total Cogs Variance</t>
  </si>
  <si>
    <t xml:space="preserve"> All figures in Rs.</t>
  </si>
  <si>
    <t xml:space="preserve">Monthly Revenue Summary </t>
  </si>
  <si>
    <t>Budgeted Revenue</t>
  </si>
  <si>
    <t>Revenue Variance</t>
  </si>
  <si>
    <t>Var %</t>
  </si>
  <si>
    <t>Revenue Variance By Product</t>
  </si>
  <si>
    <t>Sum of Budgeted Revenue (Rs)</t>
  </si>
  <si>
    <t>Sum of Actual Revenue</t>
  </si>
  <si>
    <t>Sum of Volume Variance</t>
  </si>
  <si>
    <t>Sum of Price Variance</t>
  </si>
  <si>
    <t xml:space="preserve">Total Budget Revenue </t>
  </si>
  <si>
    <t xml:space="preserve">Total Actual Revenue </t>
  </si>
  <si>
    <t xml:space="preserve"> Variance</t>
  </si>
  <si>
    <t>Variance %</t>
  </si>
  <si>
    <t>Particular</t>
  </si>
  <si>
    <t>Budget</t>
  </si>
  <si>
    <t>Actuals</t>
  </si>
  <si>
    <t>Variance</t>
  </si>
  <si>
    <t>Gross Profit Analysis</t>
  </si>
  <si>
    <t xml:space="preserve">Revenue </t>
  </si>
  <si>
    <t>Cogs</t>
  </si>
  <si>
    <t>Gross Profit</t>
  </si>
  <si>
    <t>Gross Margin %</t>
  </si>
  <si>
    <t>Actual    Revenue</t>
  </si>
  <si>
    <t>Price    Variance</t>
  </si>
  <si>
    <t>Price      Variance</t>
  </si>
  <si>
    <t>Total      Variance</t>
  </si>
  <si>
    <t>Budgeted   COGS</t>
  </si>
  <si>
    <t>Actual        COGS</t>
  </si>
  <si>
    <t xml:space="preserve">derived data </t>
  </si>
  <si>
    <t>Var%</t>
  </si>
  <si>
    <t xml:space="preserve">Grand Total </t>
  </si>
  <si>
    <t>Products</t>
  </si>
  <si>
    <t xml:space="preserve">Shyam Consumer Goods Pvt. Ltd.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</si>
</sst>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4" formatCode="[$-F800]dddd\,\ mmmm\ dd\,\ yyyy"/>
    <numFmt numFmtId="165" formatCode="&quot;₹&quot;\ #,##0.00\ \C\r"/>
    <numFmt numFmtId="166" formatCode="\ mmmm\ yyyy"/>
    <numFmt numFmtId="167" formatCode="&quot;₹&quot;\ #,##0.00\ \C\r\ \(\f\)"/>
  </numFmts>
  <fonts count="7" x14ac:knownFonts="1"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10" fontId="2" fillId="0" borderId="0" xfId="0" applyNumberFormat="1" applyFont="1"/>
    <xf numFmtId="165" fontId="1" fillId="0" borderId="3" xfId="0" applyNumberFormat="1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0" fontId="1" fillId="0" borderId="4" xfId="0" applyFont="1" applyBorder="1"/>
    <xf numFmtId="10" fontId="2" fillId="0" borderId="5" xfId="0" applyNumberFormat="1" applyFont="1" applyBorder="1"/>
    <xf numFmtId="6" fontId="2" fillId="0" borderId="0" xfId="0" applyNumberFormat="1" applyFont="1"/>
    <xf numFmtId="6" fontId="2" fillId="0" borderId="5" xfId="0" applyNumberFormat="1" applyFont="1" applyBorder="1"/>
    <xf numFmtId="6" fontId="2" fillId="0" borderId="4" xfId="0" applyNumberFormat="1" applyFont="1" applyBorder="1"/>
    <xf numFmtId="10" fontId="3" fillId="0" borderId="0" xfId="0" applyNumberFormat="1" applyFont="1"/>
    <xf numFmtId="0" fontId="3" fillId="0" borderId="0" xfId="0" applyFont="1"/>
    <xf numFmtId="10" fontId="3" fillId="0" borderId="4" xfId="0" applyNumberFormat="1" applyFont="1" applyBorder="1"/>
    <xf numFmtId="0" fontId="4" fillId="0" borderId="1" xfId="0" applyFont="1" applyBorder="1"/>
    <xf numFmtId="0" fontId="1" fillId="3" borderId="4" xfId="0" applyFont="1" applyFill="1" applyBorder="1" applyAlignment="1">
      <alignment horizontal="center" wrapText="1"/>
    </xf>
    <xf numFmtId="6" fontId="2" fillId="0" borderId="1" xfId="0" applyNumberFormat="1" applyFont="1" applyBorder="1" applyAlignment="1">
      <alignment horizontal="right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6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4" xfId="0" applyFont="1" applyBorder="1"/>
    <xf numFmtId="10" fontId="2" fillId="0" borderId="4" xfId="0" applyNumberFormat="1" applyFont="1" applyBorder="1"/>
    <xf numFmtId="166" fontId="2" fillId="0" borderId="0" xfId="0" applyNumberFormat="1" applyFont="1"/>
    <xf numFmtId="0" fontId="1" fillId="2" borderId="6" xfId="0" applyFont="1" applyFill="1" applyBorder="1" applyAlignment="1">
      <alignment horizontal="center" wrapText="1"/>
    </xf>
    <xf numFmtId="6" fontId="2" fillId="0" borderId="6" xfId="0" applyNumberFormat="1" applyFont="1" applyBorder="1" applyAlignment="1">
      <alignment horizontal="right"/>
    </xf>
    <xf numFmtId="164" fontId="2" fillId="0" borderId="0" xfId="0" applyNumberFormat="1" applyFont="1"/>
    <xf numFmtId="6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2" xfId="0" applyFont="1" applyBorder="1"/>
    <xf numFmtId="166" fontId="2" fillId="0" borderId="1" xfId="0" applyNumberFormat="1" applyFont="1" applyBorder="1"/>
    <xf numFmtId="166" fontId="2" fillId="0" borderId="5" xfId="0" applyNumberFormat="1" applyFont="1" applyBorder="1"/>
    <xf numFmtId="0" fontId="5" fillId="0" borderId="0" xfId="0" applyFont="1"/>
    <xf numFmtId="167" fontId="6" fillId="0" borderId="3" xfId="0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r>
              <a:rPr lang="en-IN"/>
              <a:t>Monthly Revenue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Budgeted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Dashboard!$B$5:$B$16</c:f>
              <c:numCache>
                <c:formatCode>\ mmmm\ yyyy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Dashboard!$C$5:$C$16</c:f>
              <c:numCache>
                <c:formatCode>"₹"#,##0_);[Red]\("₹"#,##0\)</c:formatCode>
                <c:ptCount val="12"/>
                <c:pt idx="0">
                  <c:v>16900000</c:v>
                </c:pt>
                <c:pt idx="1">
                  <c:v>16970000</c:v>
                </c:pt>
                <c:pt idx="2">
                  <c:v>17010000</c:v>
                </c:pt>
                <c:pt idx="3">
                  <c:v>16900000</c:v>
                </c:pt>
                <c:pt idx="4">
                  <c:v>16840000</c:v>
                </c:pt>
                <c:pt idx="5">
                  <c:v>17020000</c:v>
                </c:pt>
                <c:pt idx="6">
                  <c:v>17825000</c:v>
                </c:pt>
                <c:pt idx="7">
                  <c:v>18080000</c:v>
                </c:pt>
                <c:pt idx="8">
                  <c:v>18415000</c:v>
                </c:pt>
                <c:pt idx="9">
                  <c:v>18325000</c:v>
                </c:pt>
                <c:pt idx="10">
                  <c:v>17720000</c:v>
                </c:pt>
                <c:pt idx="11">
                  <c:v>16900000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4EBD-BD7B-DB63657124E0}"/>
            </c:ext>
          </c:extLst>
        </c:ser>
        <c:ser>
          <c:idx val="1"/>
          <c:order val="1"/>
          <c:tx>
            <c:strRef>
              <c:f>Dashboard!$D$4</c:f>
              <c:strCache>
                <c:ptCount val="1"/>
                <c:pt idx="0">
                  <c:v>Actual    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Dashboard!$B$5:$B$16</c:f>
              <c:numCache>
                <c:formatCode>\ mmmm\ yyyy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Dashboard!$D$5:$D$16</c:f>
              <c:numCache>
                <c:formatCode>"₹"#,##0_);[Red]\("₹"#,##0\)</c:formatCode>
                <c:ptCount val="12"/>
                <c:pt idx="0">
                  <c:v>16937420</c:v>
                </c:pt>
                <c:pt idx="1">
                  <c:v>16861025</c:v>
                </c:pt>
                <c:pt idx="2">
                  <c:v>17098575</c:v>
                </c:pt>
                <c:pt idx="3">
                  <c:v>16835000</c:v>
                </c:pt>
                <c:pt idx="4">
                  <c:v>16925350</c:v>
                </c:pt>
                <c:pt idx="5">
                  <c:v>17214375</c:v>
                </c:pt>
                <c:pt idx="6">
                  <c:v>18098575</c:v>
                </c:pt>
                <c:pt idx="7">
                  <c:v>17976125</c:v>
                </c:pt>
                <c:pt idx="8">
                  <c:v>18635275</c:v>
                </c:pt>
                <c:pt idx="9">
                  <c:v>18203200</c:v>
                </c:pt>
                <c:pt idx="10">
                  <c:v>17945750</c:v>
                </c:pt>
                <c:pt idx="11">
                  <c:v>17236500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C-4EBD-BD7B-DB6365712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236191"/>
        <c:axId val="1627232831"/>
      </c:barChart>
      <c:dateAx>
        <c:axId val="1627236191"/>
        <c:scaling>
          <c:orientation val="minMax"/>
        </c:scaling>
        <c:delete val="0"/>
        <c:axPos val="b"/>
        <c:numFmt formatCode="\ mmmm\ 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32831"/>
        <c:crosses val="autoZero"/>
        <c:auto val="1"/>
        <c:lblOffset val="100"/>
        <c:baseTimeUnit val="months"/>
      </c:dateAx>
      <c:valAx>
        <c:axId val="162723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Revenue Variance by Product Category</a:t>
            </a:r>
            <a:endParaRPr lang="en-US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28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59470691163607"/>
          <c:y val="0.16250000000000003"/>
          <c:w val="0.82196084864391949"/>
          <c:h val="0.67498505395158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Dashboard!$G$21</c:f>
              <c:strCache>
                <c:ptCount val="1"/>
                <c:pt idx="0">
                  <c:v>Revenue Variance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Dashboard!$B$22:$B$25</c:f>
              <c:strCache>
                <c:ptCount val="4"/>
                <c:pt idx="0">
                  <c:v>Green Tea (250g)</c:v>
                </c:pt>
                <c:pt idx="1">
                  <c:v>Oats (500g)</c:v>
                </c:pt>
                <c:pt idx="2">
                  <c:v>Peanut Butter (400g)</c:v>
                </c:pt>
                <c:pt idx="3">
                  <c:v>Olive Oil (1L)</c:v>
                </c:pt>
              </c:strCache>
            </c:strRef>
          </c:cat>
          <c:val>
            <c:numRef>
              <c:f>Dashboard!$G$22:$G$25</c:f>
              <c:numCache>
                <c:formatCode>"₹"#,##0_);[Red]\("₹"#,##0\)</c:formatCode>
                <c:ptCount val="4"/>
                <c:pt idx="0">
                  <c:v>273145</c:v>
                </c:pt>
                <c:pt idx="1">
                  <c:v>121175</c:v>
                </c:pt>
                <c:pt idx="2">
                  <c:v>237175</c:v>
                </c:pt>
                <c:pt idx="3">
                  <c:v>430675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3-4A67-AF42-E6E8A99793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4566207"/>
        <c:axId val="1624560447"/>
      </c:barChart>
      <c:catAx>
        <c:axId val="16245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560447"/>
        <c:crosses val="autoZero"/>
        <c:auto val="1"/>
        <c:lblAlgn val="ctr"/>
        <c:lblOffset val="100"/>
        <c:noMultiLvlLbl val="0"/>
      </c:catAx>
      <c:valAx>
        <c:axId val="162456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56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31</xdr:row>
      <xdr:rowOff>7620</xdr:rowOff>
    </xdr:from>
    <xdr:to>
      <xdr:col>13</xdr:col>
      <xdr:colOff>583963</xdr:colOff>
      <xdr:row>52</xdr:row>
      <xdr:rowOff>178038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CE37A-8C99-4F37-AC6C-207DE5355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24</xdr:row>
      <xdr:rowOff>175260</xdr:rowOff>
    </xdr:from>
    <xdr:to>
      <xdr:col>4</xdr:col>
      <xdr:colOff>7620</xdr:colOff>
      <xdr:row>28</xdr:row>
      <xdr:rowOff>175260</xdr:rowOff>
    </xdr:to>
    <xdr:sp macro="" textlink="Dashboard!B30">
      <xdr:nvSpPr>
        <xdr:cNvPr id="5" name="Rectangle: Rounded Corners 4">
          <a:extLst>
            <a:ext uri="{FF2B5EF4-FFF2-40B4-BE49-F238E27FC236}">
              <a16:creationId xmlns:a16="http://schemas.microsoft.com/office/drawing/2014/main" id="{C7019C79-FA18-883E-86DF-BD0F6CA63C73}"/>
            </a:ext>
          </a:extLst>
        </xdr:cNvPr>
        <xdr:cNvSpPr/>
      </xdr:nvSpPr>
      <xdr:spPr>
        <a:xfrm>
          <a:off x="177165" y="899160"/>
          <a:ext cx="1821180" cy="7239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t>Budgeted Revenue </a:t>
          </a:r>
        </a:p>
        <a:p>
          <a:pPr algn="ctr"/>
          <a:fld id="{FD430B12-76A8-441F-BEA5-7E6E5972FB6B}" type="TxLink">
            <a:rPr lang="en-US" sz="14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pPr algn="ctr"/>
            <a:t>₹ 20.89 Cr</a:t>
          </a:fld>
          <a:endParaRPr lang="en-IN" sz="1400">
            <a:ln>
              <a:noFill/>
            </a:ln>
          </a:endParaRPr>
        </a:p>
      </xdr:txBody>
    </xdr:sp>
    <xdr:clientData/>
  </xdr:twoCellAnchor>
  <xdr:twoCellAnchor>
    <xdr:from>
      <xdr:col>4</xdr:col>
      <xdr:colOff>152400</xdr:colOff>
      <xdr:row>25</xdr:row>
      <xdr:rowOff>15240</xdr:rowOff>
    </xdr:from>
    <xdr:to>
      <xdr:col>7</xdr:col>
      <xdr:colOff>144780</xdr:colOff>
      <xdr:row>29</xdr:row>
      <xdr:rowOff>15240</xdr:rowOff>
    </xdr:to>
    <xdr:sp macro="" textlink="Dashboard!C30">
      <xdr:nvSpPr>
        <xdr:cNvPr id="7" name="Rectangle: Rounded Corners 6">
          <a:extLst>
            <a:ext uri="{FF2B5EF4-FFF2-40B4-BE49-F238E27FC236}">
              <a16:creationId xmlns:a16="http://schemas.microsoft.com/office/drawing/2014/main" id="{9490B3B8-EED6-42C1-A4E7-812C4773FAD9}"/>
            </a:ext>
          </a:extLst>
        </xdr:cNvPr>
        <xdr:cNvSpPr/>
      </xdr:nvSpPr>
      <xdr:spPr>
        <a:xfrm>
          <a:off x="2141220" y="563880"/>
          <a:ext cx="1821180" cy="73152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t> Actual Revenue</a:t>
          </a:r>
          <a:r>
            <a:rPr lang="en-US" sz="1400" b="1" i="0" u="none" strike="noStrike" baseline="0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/>
          <a:fld id="{464F6F72-2125-4D57-90C5-7F3C392C3E36}" type="TxLink">
            <a:rPr lang="en-US" sz="14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pPr algn="ctr"/>
            <a:t>₹ 21.00 Cr</a:t>
          </a:fld>
          <a:endParaRPr lang="en-IN" sz="1400">
            <a:ln>
              <a:noFill/>
            </a:ln>
          </a:endParaRPr>
        </a:p>
      </xdr:txBody>
    </xdr:sp>
    <xdr:clientData/>
  </xdr:twoCellAnchor>
  <xdr:twoCellAnchor>
    <xdr:from>
      <xdr:col>7</xdr:col>
      <xdr:colOff>289560</xdr:colOff>
      <xdr:row>25</xdr:row>
      <xdr:rowOff>7620</xdr:rowOff>
    </xdr:from>
    <xdr:to>
      <xdr:col>10</xdr:col>
      <xdr:colOff>281940</xdr:colOff>
      <xdr:row>29</xdr:row>
      <xdr:rowOff>7620</xdr:rowOff>
    </xdr:to>
    <xdr:sp macro="" textlink="Dashboard!D30">
      <xdr:nvSpPr>
        <xdr:cNvPr id="8" name="Rectangle: Rounded Corners 7">
          <a:extLst>
            <a:ext uri="{FF2B5EF4-FFF2-40B4-BE49-F238E27FC236}">
              <a16:creationId xmlns:a16="http://schemas.microsoft.com/office/drawing/2014/main" id="{25C88BCA-54D2-4AD8-83F2-2A9578F10B32}"/>
            </a:ext>
          </a:extLst>
        </xdr:cNvPr>
        <xdr:cNvSpPr/>
      </xdr:nvSpPr>
      <xdr:spPr>
        <a:xfrm>
          <a:off x="4107180" y="556260"/>
          <a:ext cx="1821180" cy="73152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D3ECC72-C22B-4439-B955-E8EC1F2B49A7}" type="TxLink">
            <a:rPr lang="en-US" sz="16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pPr algn="ctr"/>
            <a:t>₹ 0.11 Cr (f)</a:t>
          </a:fld>
          <a:endParaRPr lang="en-IN" sz="1800">
            <a:ln>
              <a:noFill/>
            </a:ln>
          </a:endParaRPr>
        </a:p>
      </xdr:txBody>
    </xdr:sp>
    <xdr:clientData/>
  </xdr:twoCellAnchor>
  <xdr:twoCellAnchor>
    <xdr:from>
      <xdr:col>10</xdr:col>
      <xdr:colOff>411480</xdr:colOff>
      <xdr:row>25</xdr:row>
      <xdr:rowOff>15240</xdr:rowOff>
    </xdr:from>
    <xdr:to>
      <xdr:col>13</xdr:col>
      <xdr:colOff>403860</xdr:colOff>
      <xdr:row>29</xdr:row>
      <xdr:rowOff>15240</xdr:rowOff>
    </xdr:to>
    <xdr:sp macro="" textlink="Dashboard!E30">
      <xdr:nvSpPr>
        <xdr:cNvPr id="9" name="Rectangle: Rounded Corners 8">
          <a:extLst>
            <a:ext uri="{FF2B5EF4-FFF2-40B4-BE49-F238E27FC236}">
              <a16:creationId xmlns:a16="http://schemas.microsoft.com/office/drawing/2014/main" id="{00BFF539-A038-4CEB-AD28-8889B24F8060}"/>
            </a:ext>
          </a:extLst>
        </xdr:cNvPr>
        <xdr:cNvSpPr/>
      </xdr:nvSpPr>
      <xdr:spPr>
        <a:xfrm>
          <a:off x="6057900" y="563880"/>
          <a:ext cx="1821180" cy="73152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t> Variance %</a:t>
          </a:r>
        </a:p>
        <a:p>
          <a:pPr algn="ctr"/>
          <a:fld id="{4E4571DA-EDAC-4225-A758-BBC59A234781}" type="TxLink">
            <a:rPr lang="en-US" sz="1400" b="1" i="0" u="none" strike="noStrike">
              <a:ln>
                <a:noFill/>
              </a:ln>
              <a:solidFill>
                <a:srgbClr val="000000"/>
              </a:solidFill>
              <a:latin typeface="Times New Roman"/>
              <a:cs typeface="Times New Roman"/>
            </a:rPr>
            <a:pPr algn="ctr"/>
            <a:t>0.51%</a:t>
          </a:fld>
          <a:endParaRPr lang="en-IN" sz="1400">
            <a:ln>
              <a:noFill/>
            </a:ln>
          </a:endParaRPr>
        </a:p>
      </xdr:txBody>
    </xdr:sp>
    <xdr:clientData/>
  </xdr:twoCellAnchor>
  <xdr:twoCellAnchor>
    <xdr:from>
      <xdr:col>15</xdr:col>
      <xdr:colOff>9797</xdr:colOff>
      <xdr:row>30</xdr:row>
      <xdr:rowOff>174171</xdr:rowOff>
    </xdr:from>
    <xdr:to>
      <xdr:col>25</xdr:col>
      <xdr:colOff>9524</xdr:colOff>
      <xdr:row>53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049DF3-B898-4800-9C00-B1D1DF18B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123824</xdr:colOff>
      <xdr:row>2</xdr:row>
      <xdr:rowOff>28575</xdr:rowOff>
    </xdr:from>
    <xdr:to>
      <xdr:col>14</xdr:col>
      <xdr:colOff>171450</xdr:colOff>
      <xdr:row>23</xdr:row>
      <xdr:rowOff>9526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7FEA53-9256-1E8A-4C69-29B136519419}"/>
            </a:ext>
          </a:extLst>
        </xdr:cNvPr>
        <xdr:cNvSpPr txBox="1"/>
      </xdr:nvSpPr>
      <xdr:spPr>
        <a:xfrm>
          <a:off x="285749" y="752475"/>
          <a:ext cx="7972426" cy="3781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6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 findings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>
              <a:effectLst/>
            </a:rPr>
            <a:t> </a:t>
          </a:r>
        </a:p>
        <a:p>
          <a:r>
            <a:rPr lang="en-IN" sz="16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Revenue: 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Actual revenue (₹21.00 Cr) beat the budget (₹20.89 Cr) by about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+0.51%</a:t>
          </a:r>
          <a:r>
            <a:rPr lang="en-IN" sz="16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en-IN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 Drivers:</a:t>
          </a:r>
          <a:r>
            <a:rPr lang="en-IN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growth came from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selling more units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(Volume Variance = +₹15.28 lakh, favorable), while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average selling prices were lower than planned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(Price Variance = -₹4.66 lakh, unfavorable).</a:t>
          </a:r>
        </a:p>
        <a:p>
          <a:endParaRPr lang="en-IN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600" b="1">
              <a:latin typeface="Times New Roman" panose="02020603050405020304" pitchFamily="18" charset="0"/>
              <a:cs typeface="Times New Roman" panose="02020603050405020304" pitchFamily="18" charset="0"/>
            </a:rPr>
            <a:t>Best &amp; worst products:</a:t>
          </a:r>
          <a:r>
            <a:rPr lang="en-IN" sz="16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Green Tea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had the best variance performance (+0.64%), followed by Peanut Butter and Olive Oil.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Oats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was the weakest performer (+0.26%)  it grew the least compared to its budget.</a:t>
          </a:r>
          <a:r>
            <a:rPr lang="en-IN" sz="16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en-IN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Profitability:</a:t>
          </a:r>
          <a:r>
            <a:rPr lang="en-IN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Profit margin fell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Even though revenue went up,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actual costs (COGS) were higher than budgeted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so Gross Margin dropped from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47.06% (budget) to 46.63% (actual)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r>
            <a:rPr lang="en-IN" sz="16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A327-B0CA-4736-B71F-CD6125F334F1}">
  <dimension ref="W22:W24"/>
  <sheetViews>
    <sheetView showGridLines="0" tabSelected="1" zoomScale="80" zoomScaleNormal="107" workbookViewId="0">
      <selection activeCell="V11" sqref="V11"/>
    </sheetView>
  </sheetViews>
  <sheetFormatPr defaultRowHeight="14.4" x14ac:dyDescent="0.3"/>
  <cols>
    <col min="1" max="1" width="2.33203125" customWidth="1"/>
  </cols>
  <sheetData>
    <row r="22" spans="23:23" x14ac:dyDescent="0.3">
      <c r="W22" s="39"/>
    </row>
    <row r="24" spans="23:23" x14ac:dyDescent="0.3">
      <c r="W24" s="3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11E8-2CB9-4D59-90A6-8BAACD4459D4}">
  <dimension ref="A3:N66"/>
  <sheetViews>
    <sheetView showGridLines="0" topLeftCell="A21" zoomScale="102" zoomScaleNormal="102" workbookViewId="0">
      <selection activeCell="J8" sqref="J8"/>
    </sheetView>
  </sheetViews>
  <sheetFormatPr defaultRowHeight="15.6" x14ac:dyDescent="0.3"/>
  <cols>
    <col min="1" max="1" width="2.33203125" style="2" customWidth="1"/>
    <col min="2" max="2" width="18.77734375" style="2" bestFit="1" customWidth="1"/>
    <col min="3" max="7" width="15.77734375" style="2" customWidth="1"/>
    <col min="8" max="8" width="10" style="2" customWidth="1"/>
    <col min="9" max="13" width="8.88671875" style="2"/>
    <col min="14" max="14" width="18.109375" style="2" bestFit="1" customWidth="1"/>
    <col min="15" max="15" width="20.33203125" style="2" customWidth="1"/>
    <col min="16" max="16" width="17.5546875" style="2" customWidth="1"/>
    <col min="17" max="17" width="17.109375" style="2" customWidth="1"/>
    <col min="18" max="18" width="10" style="2" customWidth="1"/>
    <col min="19" max="19" width="11.21875" style="2" customWidth="1"/>
    <col min="20" max="16384" width="8.88671875" style="2"/>
  </cols>
  <sheetData>
    <row r="3" spans="2:10" x14ac:dyDescent="0.3">
      <c r="B3" s="41" t="s">
        <v>19</v>
      </c>
      <c r="C3" s="41"/>
      <c r="D3" s="41"/>
      <c r="E3" s="41"/>
      <c r="F3" s="41"/>
      <c r="G3" s="41"/>
      <c r="H3" s="41"/>
    </row>
    <row r="4" spans="2:10" ht="30" customHeight="1" thickBot="1" x14ac:dyDescent="0.35">
      <c r="B4" s="19" t="s">
        <v>1</v>
      </c>
      <c r="C4" s="17" t="s">
        <v>20</v>
      </c>
      <c r="D4" s="17" t="s">
        <v>41</v>
      </c>
      <c r="E4" s="17" t="s">
        <v>21</v>
      </c>
      <c r="F4" s="17" t="s">
        <v>16</v>
      </c>
      <c r="G4" s="17" t="s">
        <v>42</v>
      </c>
      <c r="H4" s="19" t="s">
        <v>22</v>
      </c>
    </row>
    <row r="5" spans="2:10" x14ac:dyDescent="0.3">
      <c r="B5" s="30">
        <v>45383</v>
      </c>
      <c r="C5" s="10">
        <f ca="1">SUMIF('Derived Data'!$A$6:$N$53,Dashboard!B5,'Derived Data'!$K$6:$K$53)</f>
        <v>16900000</v>
      </c>
      <c r="D5" s="10">
        <f ca="1">SUMIF('Derived Data'!$A$6:$N$53,Dashboard!B5,'Derived Data'!$L$6:$L$53)</f>
        <v>16937420</v>
      </c>
      <c r="E5" s="10">
        <f ca="1">D5-C5</f>
        <v>37420</v>
      </c>
      <c r="F5" s="10">
        <f ca="1">SUMIF('Derived Data'!$A$6:$N$53,Dashboard!B5,'Derived Data'!$M$6:$M$53)</f>
        <v>21000</v>
      </c>
      <c r="G5" s="10">
        <f ca="1">SUMIF('Derived Data'!$A$6:$N$53,Dashboard!B5,'Derived Data'!$N$6:$N$53)</f>
        <v>16420</v>
      </c>
      <c r="H5" s="5">
        <f ca="1">IFERROR(E5/C5,"n/a")</f>
        <v>2.2142011834319526E-3</v>
      </c>
    </row>
    <row r="6" spans="2:10" x14ac:dyDescent="0.3">
      <c r="B6" s="30">
        <f>EDATE(B5,1)</f>
        <v>45413</v>
      </c>
      <c r="C6" s="10">
        <f ca="1">SUMIF('Derived Data'!$A$6:$N$53,Dashboard!B6,'Derived Data'!$K$6:$K$53)</f>
        <v>16970000</v>
      </c>
      <c r="D6" s="10">
        <f ca="1">SUMIF('Derived Data'!$A$6:$N$53,Dashboard!B6,'Derived Data'!$L$6:$L$53)</f>
        <v>16861025</v>
      </c>
      <c r="E6" s="10">
        <f t="shared" ref="E6:E16" ca="1" si="0">D6-C6</f>
        <v>-108975</v>
      </c>
      <c r="F6" s="10">
        <f ca="1">SUMIF('Derived Data'!$A$6:$N$534,Dashboard!B6,'Derived Data'!$M$6:$M$53)</f>
        <v>7500</v>
      </c>
      <c r="G6" s="10">
        <f ca="1">SUMIF('Derived Data'!$A$6:$N$53,Dashboard!B6,'Derived Data'!$N$6:$N$53)</f>
        <v>-116475</v>
      </c>
      <c r="H6" s="13">
        <f t="shared" ref="H6:H16" ca="1" si="1">IFERROR(E6/C6,"n/a")</f>
        <v>-6.4216263995285801E-3</v>
      </c>
    </row>
    <row r="7" spans="2:10" x14ac:dyDescent="0.3">
      <c r="B7" s="30">
        <f t="shared" ref="B7:B16" si="2">EDATE(B6,1)</f>
        <v>45444</v>
      </c>
      <c r="C7" s="10">
        <f ca="1">SUMIF('Derived Data'!$A$6:$N$53,Dashboard!B7,'Derived Data'!$K$6:$K$53)</f>
        <v>17010000</v>
      </c>
      <c r="D7" s="10">
        <f ca="1">SUMIF('Derived Data'!$A$6:$N$53,Dashboard!B7,'Derived Data'!$L$6:$L$53)</f>
        <v>17098575</v>
      </c>
      <c r="E7" s="10">
        <f t="shared" ca="1" si="0"/>
        <v>88575</v>
      </c>
      <c r="F7" s="10">
        <f ca="1">SUMIF('Derived Data'!$A$6:$N$534,Dashboard!B7,'Derived Data'!$M$6:$M$53)</f>
        <v>-12500</v>
      </c>
      <c r="G7" s="10">
        <f ca="1">SUMIF('Derived Data'!$A$6:$N$53,Dashboard!B7,'Derived Data'!$N$6:$N$53)</f>
        <v>101075</v>
      </c>
      <c r="H7" s="5">
        <f t="shared" ca="1" si="1"/>
        <v>5.2072310405643736E-3</v>
      </c>
    </row>
    <row r="8" spans="2:10" x14ac:dyDescent="0.3">
      <c r="B8" s="30">
        <f t="shared" si="2"/>
        <v>45474</v>
      </c>
      <c r="C8" s="10">
        <f ca="1">SUMIF('Derived Data'!$A$6:$N$53,Dashboard!B8,'Derived Data'!$K$6:$K$53)</f>
        <v>16900000</v>
      </c>
      <c r="D8" s="10">
        <f ca="1">SUMIF('Derived Data'!$A$6:$N$53,Dashboard!B8,'Derived Data'!$L$6:$L$53)</f>
        <v>16835000</v>
      </c>
      <c r="E8" s="10">
        <f t="shared" ca="1" si="0"/>
        <v>-65000</v>
      </c>
      <c r="F8" s="10">
        <f ca="1">SUMIF('Derived Data'!$A$6:$N$534,Dashboard!B8,'Derived Data'!$M$6:$M$53)</f>
        <v>-45000</v>
      </c>
      <c r="G8" s="10">
        <f ca="1">SUMIF('Derived Data'!$A$6:$N$53,Dashboard!B8,'Derived Data'!$N$6:$N$53)</f>
        <v>-20000</v>
      </c>
      <c r="H8" s="13">
        <f t="shared" ca="1" si="1"/>
        <v>-3.8461538461538464E-3</v>
      </c>
    </row>
    <row r="9" spans="2:10" x14ac:dyDescent="0.3">
      <c r="B9" s="30">
        <f t="shared" si="2"/>
        <v>45505</v>
      </c>
      <c r="C9" s="10">
        <f ca="1">SUMIF('Derived Data'!$A$6:$N$53,Dashboard!B9,'Derived Data'!$K$6:$K$53)</f>
        <v>16840000</v>
      </c>
      <c r="D9" s="10">
        <f ca="1">SUMIF('Derived Data'!$A$6:$N$53,Dashboard!B9,'Derived Data'!$L$6:$L$53)</f>
        <v>16925350</v>
      </c>
      <c r="E9" s="10">
        <f t="shared" ca="1" si="0"/>
        <v>85350</v>
      </c>
      <c r="F9" s="10">
        <f ca="1">SUMIF('Derived Data'!$A$6:$N$534,Dashboard!B9,'Derived Data'!$M$6:$M$53)</f>
        <v>112500</v>
      </c>
      <c r="G9" s="10">
        <f ca="1">SUMIF('Derived Data'!$A$6:$N$53,Dashboard!B9,'Derived Data'!$N$6:$N$53)</f>
        <v>-27150</v>
      </c>
      <c r="H9" s="5">
        <f t="shared" ca="1" si="1"/>
        <v>5.0682897862232776E-3</v>
      </c>
    </row>
    <row r="10" spans="2:10" x14ac:dyDescent="0.3">
      <c r="B10" s="30">
        <f t="shared" si="2"/>
        <v>45536</v>
      </c>
      <c r="C10" s="10">
        <f ca="1">SUMIF('Derived Data'!$A$6:$N$53,Dashboard!B10,'Derived Data'!$K$6:$K$53)</f>
        <v>17020000</v>
      </c>
      <c r="D10" s="10">
        <f ca="1">SUMIF('Derived Data'!$A$6:$N$53,Dashboard!B10,'Derived Data'!$L$6:$L$53)</f>
        <v>17214375</v>
      </c>
      <c r="E10" s="10">
        <f t="shared" ca="1" si="0"/>
        <v>194375</v>
      </c>
      <c r="F10" s="10">
        <f ca="1">SUMIF('Derived Data'!$A$6:$N$534,Dashboard!B10,'Derived Data'!$M$6:$M$53)</f>
        <v>160000</v>
      </c>
      <c r="G10" s="10">
        <f ca="1">SUMIF('Derived Data'!$A$6:$N$53,Dashboard!B10,'Derived Data'!$N$6:$N$53)</f>
        <v>34375</v>
      </c>
      <c r="H10" s="5">
        <f t="shared" ca="1" si="1"/>
        <v>1.1420387779083432E-2</v>
      </c>
      <c r="J10" s="14"/>
    </row>
    <row r="11" spans="2:10" x14ac:dyDescent="0.3">
      <c r="B11" s="30">
        <f t="shared" si="2"/>
        <v>45566</v>
      </c>
      <c r="C11" s="10">
        <f ca="1">SUMIF('Derived Data'!$A$6:$N$53,Dashboard!B11,'Derived Data'!$K$6:$K$53)</f>
        <v>17825000</v>
      </c>
      <c r="D11" s="10">
        <f ca="1">SUMIF('Derived Data'!$A$6:$N$53,Dashboard!B11,'Derived Data'!$L$6:$L$53)</f>
        <v>18098575</v>
      </c>
      <c r="E11" s="10">
        <f t="shared" ca="1" si="0"/>
        <v>273575</v>
      </c>
      <c r="F11" s="10">
        <f ca="1">SUMIF('Derived Data'!$A$6:$N$534,Dashboard!B11,'Derived Data'!$M$6:$M$53)</f>
        <v>500000</v>
      </c>
      <c r="G11" s="10">
        <f ca="1">SUMIF('Derived Data'!$A$6:$N$53,Dashboard!B11,'Derived Data'!$N$6:$N$53)</f>
        <v>-226425</v>
      </c>
      <c r="H11" s="5">
        <f t="shared" ca="1" si="1"/>
        <v>1.5347826086956522E-2</v>
      </c>
    </row>
    <row r="12" spans="2:10" x14ac:dyDescent="0.3">
      <c r="B12" s="30">
        <f t="shared" si="2"/>
        <v>45597</v>
      </c>
      <c r="C12" s="10">
        <f ca="1">SUMIF('Derived Data'!$A$6:$N$53,Dashboard!B12,'Derived Data'!$K$6:$K$53)</f>
        <v>18080000</v>
      </c>
      <c r="D12" s="10">
        <f ca="1">SUMIF('Derived Data'!$A$6:$N$53,Dashboard!B12,'Derived Data'!$L$6:$L$53)</f>
        <v>17976125</v>
      </c>
      <c r="E12" s="10">
        <f t="shared" ca="1" si="0"/>
        <v>-103875</v>
      </c>
      <c r="F12" s="10">
        <f ca="1">SUMIF('Derived Data'!$A$6:$N$534,Dashboard!B12,'Derived Data'!$M$6:$M$53)</f>
        <v>-255000</v>
      </c>
      <c r="G12" s="10">
        <f ca="1">SUMIF('Derived Data'!$A$6:$N$53,Dashboard!B12,'Derived Data'!$N$6:$N$53)</f>
        <v>151125</v>
      </c>
      <c r="H12" s="13">
        <f t="shared" ca="1" si="1"/>
        <v>-5.7452986725663718E-3</v>
      </c>
    </row>
    <row r="13" spans="2:10" x14ac:dyDescent="0.3">
      <c r="B13" s="30">
        <f t="shared" si="2"/>
        <v>45627</v>
      </c>
      <c r="C13" s="10">
        <f ca="1">SUMIF('Derived Data'!$A$6:$N$53,Dashboard!B13,'Derived Data'!$K$6:$K$53)</f>
        <v>18415000</v>
      </c>
      <c r="D13" s="10">
        <f ca="1">SUMIF('Derived Data'!$A$6:$N$53,Dashboard!B13,'Derived Data'!$L$6:$L$53)</f>
        <v>18635275</v>
      </c>
      <c r="E13" s="10">
        <f t="shared" ca="1" si="0"/>
        <v>220275</v>
      </c>
      <c r="F13" s="10">
        <f ca="1">SUMIF('Derived Data'!$A$6:$N$534,Dashboard!B13,'Derived Data'!$M$6:$M$53)</f>
        <v>310000</v>
      </c>
      <c r="G13" s="10">
        <f ca="1">SUMIF('Derived Data'!$A$6:$N$53,Dashboard!B13,'Derived Data'!$N$6:$N$53)</f>
        <v>-89725</v>
      </c>
      <c r="H13" s="5">
        <f t="shared" ca="1" si="1"/>
        <v>1.1961715992397502E-2</v>
      </c>
    </row>
    <row r="14" spans="2:10" x14ac:dyDescent="0.3">
      <c r="B14" s="30">
        <f t="shared" si="2"/>
        <v>45658</v>
      </c>
      <c r="C14" s="10">
        <f ca="1">SUMIF('Derived Data'!$A$6:$N$53,Dashboard!B14,'Derived Data'!$K$6:$K$53)</f>
        <v>18325000</v>
      </c>
      <c r="D14" s="10">
        <f ca="1">SUMIF('Derived Data'!$A$6:$N$53,Dashboard!B14,'Derived Data'!$L$6:$L$53)</f>
        <v>18203200</v>
      </c>
      <c r="E14" s="10">
        <f t="shared" ca="1" si="0"/>
        <v>-121800</v>
      </c>
      <c r="F14" s="10">
        <f ca="1">SUMIF('Derived Data'!$A$6:$N$534,Dashboard!B14,'Derived Data'!$M$6:$M$53)</f>
        <v>-210000</v>
      </c>
      <c r="G14" s="10">
        <f ca="1">SUMIF('Derived Data'!$A$6:$N$53,Dashboard!B14,'Derived Data'!$N$6:$N$53)</f>
        <v>88200</v>
      </c>
      <c r="H14" s="13">
        <f t="shared" ca="1" si="1"/>
        <v>-6.646657571623465E-3</v>
      </c>
    </row>
    <row r="15" spans="2:10" x14ac:dyDescent="0.3">
      <c r="B15" s="30">
        <f t="shared" si="2"/>
        <v>45689</v>
      </c>
      <c r="C15" s="10">
        <f ca="1">SUMIF('Derived Data'!$A$6:$N$53,Dashboard!B15,'Derived Data'!$K$6:$K$53)</f>
        <v>17720000</v>
      </c>
      <c r="D15" s="10">
        <f ca="1">SUMIF('Derived Data'!$A$6:$N$53,Dashboard!B15,'Derived Data'!$L$6:$L$53)</f>
        <v>17945750</v>
      </c>
      <c r="E15" s="10">
        <f t="shared" ca="1" si="0"/>
        <v>225750</v>
      </c>
      <c r="F15" s="10">
        <f ca="1">SUMIF('Derived Data'!$A$6:$N$534,Dashboard!B15,'Derived Data'!$M$6:$M$53)</f>
        <v>305000</v>
      </c>
      <c r="G15" s="10">
        <f ca="1">SUMIF('Derived Data'!$A$6:$N$53,Dashboard!B15,'Derived Data'!$N$6:$N$53)</f>
        <v>-79250</v>
      </c>
      <c r="H15" s="5">
        <f t="shared" ca="1" si="1"/>
        <v>1.2739841986455981E-2</v>
      </c>
    </row>
    <row r="16" spans="2:10" ht="16.2" thickBot="1" x14ac:dyDescent="0.35">
      <c r="B16" s="38">
        <f t="shared" si="2"/>
        <v>45717</v>
      </c>
      <c r="C16" s="11">
        <f ca="1">SUMIF('Derived Data'!$A$6:$N$53,Dashboard!B16,'Derived Data'!$K$6:$K$53)</f>
        <v>16900000</v>
      </c>
      <c r="D16" s="11">
        <f ca="1">SUMIF('Derived Data'!$A$6:$N$53,Dashboard!B16,'Derived Data'!$L$6:$L$53)</f>
        <v>17236500</v>
      </c>
      <c r="E16" s="11">
        <f t="shared" ca="1" si="0"/>
        <v>336500</v>
      </c>
      <c r="F16" s="11">
        <f ca="1">SUMIF('Derived Data'!$A$6:$N$534,Dashboard!B16,'Derived Data'!$M$6:$M$53)</f>
        <v>635000</v>
      </c>
      <c r="G16" s="11">
        <f ca="1">SUMIF('Derived Data'!$A$6:$N$53,Dashboard!B16,'Derived Data'!$N$6:$N$53)</f>
        <v>-298500</v>
      </c>
      <c r="H16" s="9">
        <f t="shared" ca="1" si="1"/>
        <v>1.9911242603550296E-2</v>
      </c>
    </row>
    <row r="17" spans="1:8" ht="16.2" thickTop="1" x14ac:dyDescent="0.3"/>
    <row r="20" spans="1:8" x14ac:dyDescent="0.3">
      <c r="B20" s="41" t="s">
        <v>23</v>
      </c>
      <c r="C20" s="41"/>
      <c r="D20" s="41"/>
      <c r="E20" s="41"/>
      <c r="F20" s="41"/>
      <c r="G20" s="41"/>
      <c r="H20" s="41"/>
    </row>
    <row r="21" spans="1:8" ht="31.2" customHeight="1" thickBot="1" x14ac:dyDescent="0.35">
      <c r="A21" s="1"/>
      <c r="B21" s="19" t="s">
        <v>50</v>
      </c>
      <c r="C21" s="20" t="s">
        <v>24</v>
      </c>
      <c r="D21" s="20" t="s">
        <v>25</v>
      </c>
      <c r="E21" s="20" t="s">
        <v>26</v>
      </c>
      <c r="F21" s="20" t="s">
        <v>27</v>
      </c>
      <c r="G21" s="20" t="s">
        <v>21</v>
      </c>
      <c r="H21" s="19" t="s">
        <v>48</v>
      </c>
    </row>
    <row r="22" spans="1:8" x14ac:dyDescent="0.3">
      <c r="B22" s="23" t="s">
        <v>11</v>
      </c>
      <c r="C22" s="10">
        <f ca="1">SUMIF('Derived Data'!$B$6:$O$53,Dashboard!B22,'Derived Data'!$K$6:$K$53)</f>
        <v>42750000</v>
      </c>
      <c r="D22" s="10">
        <f ca="1">SUMIF('Derived Data'!$B$6:$O$53,Dashboard!B22,'Derived Data'!$L$6:$L$53)</f>
        <v>43023145</v>
      </c>
      <c r="E22" s="10">
        <f ca="1">SUMIF('Derived Data'!$B$6:$O$53,Dashboard!B22,'Derived Data'!$M$6:$M$53)</f>
        <v>292500</v>
      </c>
      <c r="F22" s="10">
        <f ca="1">SUMIF('Derived Data'!$B$6:$O$53,Dashboard!B22,'Derived Data'!$N$6:$N$53)</f>
        <v>-19355</v>
      </c>
      <c r="G22" s="10">
        <f ca="1">D22-C22</f>
        <v>273145</v>
      </c>
      <c r="H22" s="5">
        <f ca="1">G22/C22</f>
        <v>6.3893567251461988E-3</v>
      </c>
    </row>
    <row r="23" spans="1:8" x14ac:dyDescent="0.3">
      <c r="B23" s="23" t="s">
        <v>12</v>
      </c>
      <c r="C23" s="10">
        <f ca="1">SUMIF('Derived Data'!$B$6:$O$53,Dashboard!B23,'Derived Data'!$K$6:$K$53)</f>
        <v>47175000</v>
      </c>
      <c r="D23" s="10">
        <f ca="1">SUMIF('Derived Data'!$B$6:$O$53,Dashboard!B23,'Derived Data'!$L$6:$L$53)</f>
        <v>47296175</v>
      </c>
      <c r="E23" s="10">
        <f ca="1">SUMIF('Derived Data'!$B$6:$O$53,Dashboard!B23,'Derived Data'!$M$6:$M$53)</f>
        <v>180000</v>
      </c>
      <c r="F23" s="10">
        <f ca="1">SUMIF('Derived Data'!$B$6:$O$53,Dashboard!B23,'Derived Data'!$N$6:$N$53)</f>
        <v>-58825</v>
      </c>
      <c r="G23" s="10">
        <f t="shared" ref="G23:G25" ca="1" si="3">D23-C23</f>
        <v>121175</v>
      </c>
      <c r="H23" s="5">
        <f t="shared" ref="H23:H25" ca="1" si="4">G23/C23</f>
        <v>2.5686274509803923E-3</v>
      </c>
    </row>
    <row r="24" spans="1:8" x14ac:dyDescent="0.3">
      <c r="B24" s="23" t="s">
        <v>13</v>
      </c>
      <c r="C24" s="10">
        <f ca="1">SUMIF('Derived Data'!$B$6:$O$53,Dashboard!B24,'Derived Data'!$K$6:$K$53)</f>
        <v>39780000</v>
      </c>
      <c r="D24" s="10">
        <f ca="1">SUMIF('Derived Data'!$B$6:$O$53,Dashboard!B24,'Derived Data'!$L$6:$L$53)</f>
        <v>40017175</v>
      </c>
      <c r="E24" s="10">
        <f ca="1">SUMIF('Derived Data'!$B$6:$O$53,Dashboard!B24,'Derived Data'!$M$6:$M$53)</f>
        <v>360000</v>
      </c>
      <c r="F24" s="10">
        <f ca="1">SUMIF('Derived Data'!$B$6:$O$53,Dashboard!B24,'Derived Data'!$N$6:$N$53)</f>
        <v>-122825</v>
      </c>
      <c r="G24" s="10">
        <f t="shared" ca="1" si="3"/>
        <v>237175</v>
      </c>
      <c r="H24" s="5">
        <f t="shared" ca="1" si="4"/>
        <v>5.9621669180492708E-3</v>
      </c>
    </row>
    <row r="25" spans="1:8" ht="16.2" thickBot="1" x14ac:dyDescent="0.35">
      <c r="B25" s="28" t="s">
        <v>14</v>
      </c>
      <c r="C25" s="12">
        <f ca="1">SUMIF('Derived Data'!$B$6:$O$53,Dashboard!B25,'Derived Data'!$K$6:$K$53)</f>
        <v>79200000</v>
      </c>
      <c r="D25" s="12">
        <f ca="1">SUMIF('Derived Data'!$B$6:$O$53,Dashboard!B25,'Derived Data'!$L$6:$L$53)</f>
        <v>79630675</v>
      </c>
      <c r="E25" s="12">
        <f ca="1">SUMIF('Derived Data'!$B$6:$O$53,Dashboard!B25,'Derived Data'!$M$6:$M$53)</f>
        <v>696000</v>
      </c>
      <c r="F25" s="12">
        <f ca="1">SUMIF('Derived Data'!$B$6:$O$53,Dashboard!B25,'Derived Data'!$N$6:$N$53)</f>
        <v>-265325</v>
      </c>
      <c r="G25" s="12">
        <f t="shared" ca="1" si="3"/>
        <v>430675</v>
      </c>
      <c r="H25" s="29">
        <f t="shared" ca="1" si="4"/>
        <v>5.4378156565656564E-3</v>
      </c>
    </row>
    <row r="26" spans="1:8" x14ac:dyDescent="0.3">
      <c r="B26" s="2" t="s">
        <v>49</v>
      </c>
      <c r="C26" s="10">
        <f ca="1">SUM(C22:C25)</f>
        <v>208905000</v>
      </c>
      <c r="D26" s="10">
        <f t="shared" ref="D26:G26" ca="1" si="5">SUM(D22:D25)</f>
        <v>209967170</v>
      </c>
      <c r="E26" s="10">
        <f t="shared" ca="1" si="5"/>
        <v>1528500</v>
      </c>
      <c r="F26" s="10">
        <f t="shared" ca="1" si="5"/>
        <v>-466330</v>
      </c>
      <c r="G26" s="10">
        <f t="shared" ca="1" si="5"/>
        <v>1062170</v>
      </c>
    </row>
    <row r="29" spans="1:8" ht="28.2" customHeight="1" x14ac:dyDescent="0.3">
      <c r="B29" s="21" t="s">
        <v>28</v>
      </c>
      <c r="C29" s="21" t="s">
        <v>29</v>
      </c>
      <c r="D29" s="22" t="s">
        <v>30</v>
      </c>
      <c r="E29" s="22" t="s">
        <v>31</v>
      </c>
    </row>
    <row r="30" spans="1:8" x14ac:dyDescent="0.3">
      <c r="B30" s="6">
        <f>SUM('Derived Data'!K6:K53)/10000000</f>
        <v>20.890499999999999</v>
      </c>
      <c r="C30" s="6">
        <f>SUM('Derived Data'!L6:L53)/10000000</f>
        <v>20.996717</v>
      </c>
      <c r="D30" s="40">
        <f>C30-B30</f>
        <v>0.10621700000000089</v>
      </c>
      <c r="E30" s="7">
        <f>(C30-B30)/B30</f>
        <v>5.0844642301525042E-3</v>
      </c>
    </row>
    <row r="33" spans="2:14" x14ac:dyDescent="0.3">
      <c r="B33" s="41" t="s">
        <v>36</v>
      </c>
      <c r="C33" s="41"/>
      <c r="D33" s="41"/>
      <c r="E33" s="41"/>
      <c r="F33" s="41"/>
    </row>
    <row r="34" spans="2:14" ht="16.2" thickBot="1" x14ac:dyDescent="0.35">
      <c r="B34" s="19" t="s">
        <v>32</v>
      </c>
      <c r="C34" s="19" t="s">
        <v>33</v>
      </c>
      <c r="D34" s="19" t="s">
        <v>34</v>
      </c>
      <c r="E34" s="19" t="s">
        <v>35</v>
      </c>
      <c r="F34" s="19" t="s">
        <v>31</v>
      </c>
    </row>
    <row r="35" spans="2:14" x14ac:dyDescent="0.3">
      <c r="B35" s="1"/>
      <c r="C35" s="1"/>
      <c r="D35" s="1"/>
      <c r="E35" s="1"/>
      <c r="F35" s="1"/>
    </row>
    <row r="36" spans="2:14" x14ac:dyDescent="0.3">
      <c r="B36" s="3" t="s">
        <v>37</v>
      </c>
      <c r="C36" s="10">
        <f ca="1">C26</f>
        <v>208905000</v>
      </c>
      <c r="D36" s="10">
        <f ca="1">D26</f>
        <v>209967170</v>
      </c>
      <c r="E36" s="10">
        <f ca="1">G26</f>
        <v>1062170</v>
      </c>
      <c r="F36" s="13">
        <f ca="1">E36/C36</f>
        <v>5.0844642301524617E-3</v>
      </c>
    </row>
    <row r="37" spans="2:14" ht="16.2" thickBot="1" x14ac:dyDescent="0.35">
      <c r="B37" s="8" t="s">
        <v>38</v>
      </c>
      <c r="C37" s="12">
        <f>SUM('Derived Data'!P6:P53)</f>
        <v>110599000</v>
      </c>
      <c r="D37" s="12">
        <f>SUM('Derived Data'!Q6:Q53)</f>
        <v>112059524</v>
      </c>
      <c r="E37" s="12">
        <f>C37-D37</f>
        <v>-1460524</v>
      </c>
      <c r="F37" s="15">
        <f t="shared" ref="F37:F38" si="6">E37/C37</f>
        <v>-1.3205580520619535E-2</v>
      </c>
    </row>
    <row r="38" spans="2:14" x14ac:dyDescent="0.3">
      <c r="B38" s="3" t="s">
        <v>39</v>
      </c>
      <c r="C38" s="10">
        <f ca="1">C36-C37</f>
        <v>98306000</v>
      </c>
      <c r="D38" s="10">
        <f ca="1">D36-D37</f>
        <v>97907646</v>
      </c>
      <c r="E38" s="10">
        <f ca="1">E36-E37</f>
        <v>2522694</v>
      </c>
      <c r="F38" s="13">
        <f t="shared" ca="1" si="6"/>
        <v>2.5661648322584583E-2</v>
      </c>
    </row>
    <row r="39" spans="2:14" x14ac:dyDescent="0.3">
      <c r="B39" s="3" t="s">
        <v>40</v>
      </c>
      <c r="C39" s="5">
        <f ca="1">C38/C36</f>
        <v>0.47057753524329243</v>
      </c>
      <c r="D39" s="5">
        <f ca="1">D38/D36</f>
        <v>0.46629978391383758</v>
      </c>
      <c r="E39" s="13">
        <f ca="1">D39-C39</f>
        <v>-4.2777513294548486E-3</v>
      </c>
    </row>
    <row r="40" spans="2:14" x14ac:dyDescent="0.3">
      <c r="H40"/>
      <c r="I40"/>
      <c r="J40"/>
      <c r="K40"/>
      <c r="L40"/>
      <c r="M40" s="24"/>
      <c r="N40" s="25"/>
    </row>
    <row r="41" spans="2:14" x14ac:dyDescent="0.3">
      <c r="H41"/>
      <c r="I41"/>
      <c r="J41"/>
      <c r="K41"/>
      <c r="L41"/>
      <c r="M41" s="10"/>
      <c r="N41" s="5"/>
    </row>
    <row r="42" spans="2:14" x14ac:dyDescent="0.3">
      <c r="B42"/>
      <c r="C42"/>
      <c r="D42"/>
      <c r="H42"/>
      <c r="I42"/>
      <c r="J42"/>
      <c r="K42"/>
      <c r="L42"/>
      <c r="M42" s="10"/>
      <c r="N42" s="5"/>
    </row>
    <row r="43" spans="2:14" x14ac:dyDescent="0.3">
      <c r="B43"/>
      <c r="C43"/>
      <c r="D43"/>
      <c r="H43"/>
      <c r="I43"/>
      <c r="J43"/>
      <c r="K43"/>
      <c r="L43"/>
      <c r="M43" s="10"/>
      <c r="N43" s="5"/>
    </row>
    <row r="44" spans="2:14" x14ac:dyDescent="0.3">
      <c r="B44"/>
      <c r="C44"/>
      <c r="D44"/>
      <c r="H44"/>
      <c r="I44"/>
      <c r="J44"/>
      <c r="K44"/>
      <c r="L44"/>
      <c r="M44" s="10"/>
      <c r="N44" s="5"/>
    </row>
    <row r="45" spans="2:14" x14ac:dyDescent="0.3">
      <c r="B45"/>
      <c r="C45"/>
      <c r="D45"/>
      <c r="H45"/>
      <c r="I45"/>
      <c r="J45"/>
      <c r="K45"/>
      <c r="L45"/>
      <c r="M45" s="26"/>
      <c r="N45" s="27"/>
    </row>
    <row r="46" spans="2:14" x14ac:dyDescent="0.3">
      <c r="B46"/>
      <c r="C46"/>
      <c r="D46"/>
    </row>
    <row r="47" spans="2:14" x14ac:dyDescent="0.3">
      <c r="B47"/>
      <c r="C47"/>
      <c r="D47"/>
    </row>
    <row r="48" spans="2:14" x14ac:dyDescent="0.3">
      <c r="B48"/>
      <c r="C48"/>
      <c r="D48"/>
    </row>
    <row r="49" spans="2:5" x14ac:dyDescent="0.3">
      <c r="B49"/>
    </row>
    <row r="50" spans="2:5" x14ac:dyDescent="0.3">
      <c r="B50"/>
    </row>
    <row r="51" spans="2:5" x14ac:dyDescent="0.3">
      <c r="B51"/>
    </row>
    <row r="52" spans="2:5" x14ac:dyDescent="0.3">
      <c r="B52"/>
    </row>
    <row r="53" spans="2:5" x14ac:dyDescent="0.3">
      <c r="B53"/>
    </row>
    <row r="54" spans="2:5" x14ac:dyDescent="0.3">
      <c r="B54"/>
    </row>
    <row r="55" spans="2:5" x14ac:dyDescent="0.3">
      <c r="B55"/>
      <c r="C55"/>
      <c r="D55"/>
      <c r="E55"/>
    </row>
    <row r="56" spans="2:5" x14ac:dyDescent="0.3">
      <c r="B56"/>
      <c r="C56"/>
      <c r="D56"/>
      <c r="E56"/>
    </row>
    <row r="57" spans="2:5" x14ac:dyDescent="0.3">
      <c r="B57"/>
      <c r="C57"/>
      <c r="D57"/>
      <c r="E57"/>
    </row>
    <row r="58" spans="2:5" x14ac:dyDescent="0.3">
      <c r="B58"/>
      <c r="C58"/>
      <c r="D58"/>
      <c r="E58"/>
    </row>
    <row r="59" spans="2:5" x14ac:dyDescent="0.3">
      <c r="B59"/>
      <c r="C59"/>
      <c r="D59"/>
      <c r="E59"/>
    </row>
    <row r="60" spans="2:5" x14ac:dyDescent="0.3">
      <c r="C60"/>
      <c r="D60"/>
      <c r="E60"/>
    </row>
    <row r="61" spans="2:5" x14ac:dyDescent="0.3">
      <c r="C61"/>
      <c r="D61"/>
      <c r="E61"/>
    </row>
    <row r="62" spans="2:5" x14ac:dyDescent="0.3">
      <c r="C62"/>
      <c r="D62"/>
      <c r="E62"/>
    </row>
    <row r="63" spans="2:5" x14ac:dyDescent="0.3">
      <c r="C63"/>
      <c r="D63"/>
      <c r="E63"/>
    </row>
    <row r="64" spans="2:5" x14ac:dyDescent="0.3">
      <c r="C64"/>
      <c r="D64"/>
      <c r="E64"/>
    </row>
    <row r="65" spans="3:5" x14ac:dyDescent="0.3">
      <c r="C65"/>
      <c r="D65"/>
      <c r="E65"/>
    </row>
    <row r="66" spans="3:5" x14ac:dyDescent="0.3">
      <c r="C66"/>
      <c r="D66"/>
      <c r="E66"/>
    </row>
  </sheetData>
  <mergeCells count="3">
    <mergeCell ref="B20:H20"/>
    <mergeCell ref="B3:H3"/>
    <mergeCell ref="B33:F33"/>
  </mergeCells>
  <conditionalFormatting sqref="N41:N44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55C3-909F-49AE-9366-201056A4FBD4}">
  <dimension ref="A1:R53"/>
  <sheetViews>
    <sheetView showGridLines="0" topLeftCell="F1" workbookViewId="0">
      <selection activeCell="N6" sqref="N6"/>
    </sheetView>
  </sheetViews>
  <sheetFormatPr defaultRowHeight="14.4" x14ac:dyDescent="0.3"/>
  <cols>
    <col min="1" max="1" width="15.6640625" customWidth="1"/>
    <col min="2" max="2" width="18.6640625" customWidth="1"/>
    <col min="3" max="10" width="12.77734375" customWidth="1"/>
    <col min="11" max="18" width="15.77734375" customWidth="1"/>
  </cols>
  <sheetData>
    <row r="1" spans="1:18" ht="15.6" x14ac:dyDescent="0.3">
      <c r="A1" s="42" t="s">
        <v>51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8" ht="15.6" x14ac:dyDescent="0.3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8" ht="15.6" x14ac:dyDescent="0.3">
      <c r="A3" s="43" t="s">
        <v>47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8" ht="15.6" x14ac:dyDescent="0.3">
      <c r="A4" s="36" t="s">
        <v>18</v>
      </c>
      <c r="B4" s="36"/>
      <c r="C4" s="36"/>
      <c r="D4" s="36"/>
      <c r="E4" s="36"/>
      <c r="F4" s="36"/>
      <c r="G4" s="36"/>
      <c r="H4" s="36"/>
      <c r="I4" s="36"/>
      <c r="J4" s="36"/>
    </row>
    <row r="5" spans="1:18" ht="28.2" customHeight="1" x14ac:dyDescent="0.3">
      <c r="A5" s="31" t="s">
        <v>1</v>
      </c>
      <c r="B5" s="31" t="s">
        <v>2</v>
      </c>
      <c r="C5" s="31" t="s">
        <v>3</v>
      </c>
      <c r="D5" s="31" t="s">
        <v>4</v>
      </c>
      <c r="E5" s="31" t="s">
        <v>5</v>
      </c>
      <c r="F5" s="31" t="s">
        <v>6</v>
      </c>
      <c r="G5" s="31" t="s">
        <v>7</v>
      </c>
      <c r="H5" s="31" t="s">
        <v>8</v>
      </c>
      <c r="I5" s="31" t="s">
        <v>9</v>
      </c>
      <c r="J5" s="31" t="s">
        <v>10</v>
      </c>
      <c r="K5" s="31" t="s">
        <v>15</v>
      </c>
      <c r="L5" s="4" t="s">
        <v>41</v>
      </c>
      <c r="M5" s="4" t="s">
        <v>16</v>
      </c>
      <c r="N5" s="4" t="s">
        <v>43</v>
      </c>
      <c r="O5" s="4" t="s">
        <v>44</v>
      </c>
      <c r="P5" s="4" t="s">
        <v>45</v>
      </c>
      <c r="Q5" s="4" t="s">
        <v>46</v>
      </c>
      <c r="R5" s="4" t="s">
        <v>17</v>
      </c>
    </row>
    <row r="6" spans="1:18" ht="15.6" x14ac:dyDescent="0.3">
      <c r="A6" s="37">
        <v>45383</v>
      </c>
      <c r="B6" s="16" t="s">
        <v>11</v>
      </c>
      <c r="C6" s="16">
        <v>15000</v>
      </c>
      <c r="D6" s="16">
        <v>15420</v>
      </c>
      <c r="E6" s="18">
        <v>250</v>
      </c>
      <c r="F6" s="18">
        <v>248.5</v>
      </c>
      <c r="G6" s="18">
        <v>120</v>
      </c>
      <c r="H6" s="18">
        <v>121.2</v>
      </c>
      <c r="I6" s="18">
        <v>200000</v>
      </c>
      <c r="J6" s="18">
        <v>201500</v>
      </c>
      <c r="K6" s="32">
        <f>C6*E6</f>
        <v>3750000</v>
      </c>
      <c r="L6" s="18">
        <f>D6*F6</f>
        <v>3831870</v>
      </c>
      <c r="M6" s="18">
        <f>(D6-C6)*E6</f>
        <v>105000</v>
      </c>
      <c r="N6" s="18">
        <f>(F6-E6)*D6</f>
        <v>-23130</v>
      </c>
      <c r="O6" s="18">
        <f>M6+N6</f>
        <v>81870</v>
      </c>
      <c r="P6" s="18">
        <f>G6*C6</f>
        <v>1800000</v>
      </c>
      <c r="Q6" s="18">
        <f>H6*D6</f>
        <v>1868904</v>
      </c>
      <c r="R6" s="18">
        <f>Q6-P6</f>
        <v>68904</v>
      </c>
    </row>
    <row r="7" spans="1:18" ht="15.6" x14ac:dyDescent="0.3">
      <c r="A7" s="37">
        <v>45383</v>
      </c>
      <c r="B7" s="16" t="s">
        <v>12</v>
      </c>
      <c r="C7" s="16">
        <v>25000</v>
      </c>
      <c r="D7" s="16">
        <v>24100</v>
      </c>
      <c r="E7" s="18">
        <v>150</v>
      </c>
      <c r="F7" s="18">
        <v>152</v>
      </c>
      <c r="G7" s="18">
        <v>70</v>
      </c>
      <c r="H7" s="18">
        <v>68.5</v>
      </c>
      <c r="I7" s="18">
        <v>150000</v>
      </c>
      <c r="J7" s="18">
        <v>149000</v>
      </c>
      <c r="K7" s="32">
        <f t="shared" ref="K7:K53" si="0">C7*E7</f>
        <v>3750000</v>
      </c>
      <c r="L7" s="18">
        <f t="shared" ref="L7:L53" si="1">D7*F7</f>
        <v>3663200</v>
      </c>
      <c r="M7" s="18">
        <f t="shared" ref="M7:M53" si="2">(D7-C7)*E7</f>
        <v>-135000</v>
      </c>
      <c r="N7" s="18">
        <f t="shared" ref="N7:N53" si="3">(F7-E7)*D7</f>
        <v>48200</v>
      </c>
      <c r="O7" s="18">
        <f t="shared" ref="O7:O53" si="4">M7+N7</f>
        <v>-86800</v>
      </c>
      <c r="P7" s="18">
        <f t="shared" ref="P7:P53" si="5">G7*C7</f>
        <v>1750000</v>
      </c>
      <c r="Q7" s="18">
        <f t="shared" ref="Q7:Q53" si="6">H7*D7</f>
        <v>1650850</v>
      </c>
      <c r="R7" s="18">
        <f t="shared" ref="R7:R53" si="7">Q7-P7</f>
        <v>-99150</v>
      </c>
    </row>
    <row r="8" spans="1:18" ht="15.6" x14ac:dyDescent="0.3">
      <c r="A8" s="37">
        <v>45383</v>
      </c>
      <c r="B8" s="16" t="s">
        <v>13</v>
      </c>
      <c r="C8" s="16">
        <v>10000</v>
      </c>
      <c r="D8" s="16">
        <v>9850</v>
      </c>
      <c r="E8" s="18">
        <v>300</v>
      </c>
      <c r="F8" s="18">
        <v>295</v>
      </c>
      <c r="G8" s="18">
        <v>140</v>
      </c>
      <c r="H8" s="18">
        <v>142.30000000000001</v>
      </c>
      <c r="I8" s="18">
        <v>180000</v>
      </c>
      <c r="J8" s="18">
        <v>183200</v>
      </c>
      <c r="K8" s="32">
        <f t="shared" si="0"/>
        <v>3000000</v>
      </c>
      <c r="L8" s="18">
        <f t="shared" si="1"/>
        <v>2905750</v>
      </c>
      <c r="M8" s="18">
        <f t="shared" si="2"/>
        <v>-45000</v>
      </c>
      <c r="N8" s="18">
        <f t="shared" si="3"/>
        <v>-49250</v>
      </c>
      <c r="O8" s="18">
        <f t="shared" si="4"/>
        <v>-94250</v>
      </c>
      <c r="P8" s="18">
        <f t="shared" si="5"/>
        <v>1400000</v>
      </c>
      <c r="Q8" s="18">
        <f t="shared" si="6"/>
        <v>1401655</v>
      </c>
      <c r="R8" s="18">
        <f t="shared" si="7"/>
        <v>1655</v>
      </c>
    </row>
    <row r="9" spans="1:18" ht="15.6" x14ac:dyDescent="0.3">
      <c r="A9" s="37">
        <v>45383</v>
      </c>
      <c r="B9" s="16" t="s">
        <v>14</v>
      </c>
      <c r="C9" s="16">
        <v>8000</v>
      </c>
      <c r="D9" s="16">
        <v>8120</v>
      </c>
      <c r="E9" s="18">
        <v>800</v>
      </c>
      <c r="F9" s="18">
        <v>805</v>
      </c>
      <c r="G9" s="18">
        <v>500</v>
      </c>
      <c r="H9" s="18">
        <v>505</v>
      </c>
      <c r="I9" s="18">
        <v>300000</v>
      </c>
      <c r="J9" s="18">
        <v>298500</v>
      </c>
      <c r="K9" s="32">
        <f t="shared" si="0"/>
        <v>6400000</v>
      </c>
      <c r="L9" s="18">
        <f t="shared" si="1"/>
        <v>6536600</v>
      </c>
      <c r="M9" s="18">
        <f t="shared" si="2"/>
        <v>96000</v>
      </c>
      <c r="N9" s="18">
        <f t="shared" si="3"/>
        <v>40600</v>
      </c>
      <c r="O9" s="18">
        <f t="shared" si="4"/>
        <v>136600</v>
      </c>
      <c r="P9" s="18">
        <f t="shared" si="5"/>
        <v>4000000</v>
      </c>
      <c r="Q9" s="18">
        <f t="shared" si="6"/>
        <v>4100600</v>
      </c>
      <c r="R9" s="18">
        <f t="shared" si="7"/>
        <v>100600</v>
      </c>
    </row>
    <row r="10" spans="1:18" ht="15.6" x14ac:dyDescent="0.3">
      <c r="A10" s="37">
        <v>45413</v>
      </c>
      <c r="B10" s="16" t="s">
        <v>11</v>
      </c>
      <c r="C10" s="16">
        <v>15500</v>
      </c>
      <c r="D10" s="16">
        <v>15800</v>
      </c>
      <c r="E10" s="18">
        <v>250</v>
      </c>
      <c r="F10" s="18">
        <v>250</v>
      </c>
      <c r="G10" s="18">
        <v>120</v>
      </c>
      <c r="H10" s="18">
        <v>119.5</v>
      </c>
      <c r="I10" s="18">
        <v>200000</v>
      </c>
      <c r="J10" s="18">
        <v>202100</v>
      </c>
      <c r="K10" s="32">
        <f t="shared" si="0"/>
        <v>3875000</v>
      </c>
      <c r="L10" s="18">
        <f t="shared" si="1"/>
        <v>3950000</v>
      </c>
      <c r="M10" s="18">
        <f t="shared" si="2"/>
        <v>75000</v>
      </c>
      <c r="N10" s="18">
        <f t="shared" si="3"/>
        <v>0</v>
      </c>
      <c r="O10" s="18">
        <f t="shared" si="4"/>
        <v>75000</v>
      </c>
      <c r="P10" s="18">
        <f t="shared" si="5"/>
        <v>1860000</v>
      </c>
      <c r="Q10" s="18">
        <f t="shared" si="6"/>
        <v>1888100</v>
      </c>
      <c r="R10" s="18">
        <f t="shared" si="7"/>
        <v>28100</v>
      </c>
    </row>
    <row r="11" spans="1:18" ht="15.6" x14ac:dyDescent="0.3">
      <c r="A11" s="37">
        <v>45413</v>
      </c>
      <c r="B11" s="16" t="s">
        <v>12</v>
      </c>
      <c r="C11" s="16">
        <v>24500</v>
      </c>
      <c r="D11" s="16">
        <v>24650</v>
      </c>
      <c r="E11" s="18">
        <v>150</v>
      </c>
      <c r="F11" s="18">
        <v>148.5</v>
      </c>
      <c r="G11" s="18">
        <v>70</v>
      </c>
      <c r="H11" s="18">
        <v>71.099999999999994</v>
      </c>
      <c r="I11" s="18">
        <v>150000</v>
      </c>
      <c r="J11" s="18">
        <v>152000</v>
      </c>
      <c r="K11" s="32">
        <f t="shared" si="0"/>
        <v>3675000</v>
      </c>
      <c r="L11" s="18">
        <f t="shared" si="1"/>
        <v>3660525</v>
      </c>
      <c r="M11" s="18">
        <f t="shared" si="2"/>
        <v>22500</v>
      </c>
      <c r="N11" s="18">
        <f t="shared" si="3"/>
        <v>-36975</v>
      </c>
      <c r="O11" s="18">
        <f t="shared" si="4"/>
        <v>-14475</v>
      </c>
      <c r="P11" s="18">
        <f t="shared" si="5"/>
        <v>1715000</v>
      </c>
      <c r="Q11" s="18">
        <f t="shared" si="6"/>
        <v>1752614.9999999998</v>
      </c>
      <c r="R11" s="18">
        <f t="shared" si="7"/>
        <v>37614.999999999767</v>
      </c>
    </row>
    <row r="12" spans="1:18" ht="15.6" x14ac:dyDescent="0.3">
      <c r="A12" s="37">
        <v>45413</v>
      </c>
      <c r="B12" s="16" t="s">
        <v>13</v>
      </c>
      <c r="C12" s="16">
        <v>9800</v>
      </c>
      <c r="D12" s="16">
        <v>9900</v>
      </c>
      <c r="E12" s="18">
        <v>300</v>
      </c>
      <c r="F12" s="18">
        <v>300</v>
      </c>
      <c r="G12" s="18">
        <v>140</v>
      </c>
      <c r="H12" s="18">
        <v>139.80000000000001</v>
      </c>
      <c r="I12" s="18">
        <v>180000</v>
      </c>
      <c r="J12" s="18">
        <v>179500</v>
      </c>
      <c r="K12" s="32">
        <f t="shared" si="0"/>
        <v>2940000</v>
      </c>
      <c r="L12" s="18">
        <f t="shared" si="1"/>
        <v>2970000</v>
      </c>
      <c r="M12" s="18">
        <f t="shared" si="2"/>
        <v>30000</v>
      </c>
      <c r="N12" s="18">
        <f t="shared" si="3"/>
        <v>0</v>
      </c>
      <c r="O12" s="18">
        <f t="shared" si="4"/>
        <v>30000</v>
      </c>
      <c r="P12" s="18">
        <f t="shared" si="5"/>
        <v>1372000</v>
      </c>
      <c r="Q12" s="18">
        <f t="shared" si="6"/>
        <v>1384020</v>
      </c>
      <c r="R12" s="18">
        <f t="shared" si="7"/>
        <v>12020</v>
      </c>
    </row>
    <row r="13" spans="1:18" ht="15.6" x14ac:dyDescent="0.3">
      <c r="A13" s="37">
        <v>45413</v>
      </c>
      <c r="B13" s="16" t="s">
        <v>14</v>
      </c>
      <c r="C13" s="16">
        <v>8100</v>
      </c>
      <c r="D13" s="16">
        <v>7950</v>
      </c>
      <c r="E13" s="18">
        <v>800</v>
      </c>
      <c r="F13" s="18">
        <v>790</v>
      </c>
      <c r="G13" s="18">
        <v>500</v>
      </c>
      <c r="H13" s="18">
        <v>495.5</v>
      </c>
      <c r="I13" s="18">
        <v>300000</v>
      </c>
      <c r="J13" s="18">
        <v>305000</v>
      </c>
      <c r="K13" s="32">
        <f t="shared" si="0"/>
        <v>6480000</v>
      </c>
      <c r="L13" s="18">
        <f t="shared" si="1"/>
        <v>6280500</v>
      </c>
      <c r="M13" s="18">
        <f t="shared" si="2"/>
        <v>-120000</v>
      </c>
      <c r="N13" s="18">
        <f t="shared" si="3"/>
        <v>-79500</v>
      </c>
      <c r="O13" s="18">
        <f t="shared" si="4"/>
        <v>-199500</v>
      </c>
      <c r="P13" s="18">
        <f t="shared" si="5"/>
        <v>4050000</v>
      </c>
      <c r="Q13" s="18">
        <f t="shared" si="6"/>
        <v>3939225</v>
      </c>
      <c r="R13" s="18">
        <f t="shared" si="7"/>
        <v>-110775</v>
      </c>
    </row>
    <row r="14" spans="1:18" ht="15.6" x14ac:dyDescent="0.3">
      <c r="A14" s="37">
        <v>45444</v>
      </c>
      <c r="B14" s="16" t="s">
        <v>11</v>
      </c>
      <c r="C14" s="16">
        <v>16000</v>
      </c>
      <c r="D14" s="16">
        <v>15950</v>
      </c>
      <c r="E14" s="18">
        <v>250</v>
      </c>
      <c r="F14" s="18">
        <v>252</v>
      </c>
      <c r="G14" s="18">
        <v>120</v>
      </c>
      <c r="H14" s="18">
        <v>122</v>
      </c>
      <c r="I14" s="18">
        <v>200000</v>
      </c>
      <c r="J14" s="18">
        <v>199000</v>
      </c>
      <c r="K14" s="32">
        <f t="shared" si="0"/>
        <v>4000000</v>
      </c>
      <c r="L14" s="18">
        <f t="shared" si="1"/>
        <v>4019400</v>
      </c>
      <c r="M14" s="18">
        <f t="shared" si="2"/>
        <v>-12500</v>
      </c>
      <c r="N14" s="18">
        <f t="shared" si="3"/>
        <v>31900</v>
      </c>
      <c r="O14" s="18">
        <f t="shared" si="4"/>
        <v>19400</v>
      </c>
      <c r="P14" s="18">
        <f t="shared" si="5"/>
        <v>1920000</v>
      </c>
      <c r="Q14" s="18">
        <f t="shared" si="6"/>
        <v>1945900</v>
      </c>
      <c r="R14" s="18">
        <f t="shared" si="7"/>
        <v>25900</v>
      </c>
    </row>
    <row r="15" spans="1:18" ht="15.6" x14ac:dyDescent="0.3">
      <c r="A15" s="37">
        <v>45444</v>
      </c>
      <c r="B15" s="16" t="s">
        <v>12</v>
      </c>
      <c r="C15" s="16">
        <v>24000</v>
      </c>
      <c r="D15" s="16">
        <v>23800</v>
      </c>
      <c r="E15" s="18">
        <v>150</v>
      </c>
      <c r="F15" s="18">
        <v>151.5</v>
      </c>
      <c r="G15" s="18">
        <v>70</v>
      </c>
      <c r="H15" s="18">
        <v>69.900000000000006</v>
      </c>
      <c r="I15" s="18">
        <v>150000</v>
      </c>
      <c r="J15" s="18">
        <v>150500</v>
      </c>
      <c r="K15" s="32">
        <f t="shared" si="0"/>
        <v>3600000</v>
      </c>
      <c r="L15" s="18">
        <f t="shared" si="1"/>
        <v>3605700</v>
      </c>
      <c r="M15" s="18">
        <f t="shared" si="2"/>
        <v>-30000</v>
      </c>
      <c r="N15" s="18">
        <f t="shared" si="3"/>
        <v>35700</v>
      </c>
      <c r="O15" s="18">
        <f t="shared" si="4"/>
        <v>5700</v>
      </c>
      <c r="P15" s="18">
        <f t="shared" si="5"/>
        <v>1680000</v>
      </c>
      <c r="Q15" s="18">
        <f t="shared" si="6"/>
        <v>1663620.0000000002</v>
      </c>
      <c r="R15" s="18">
        <f t="shared" si="7"/>
        <v>-16379.999999999767</v>
      </c>
    </row>
    <row r="16" spans="1:18" ht="15.6" x14ac:dyDescent="0.3">
      <c r="A16" s="37">
        <v>45444</v>
      </c>
      <c r="B16" s="16" t="s">
        <v>13</v>
      </c>
      <c r="C16" s="16">
        <v>9500</v>
      </c>
      <c r="D16" s="16">
        <v>9200</v>
      </c>
      <c r="E16" s="18">
        <v>300</v>
      </c>
      <c r="F16" s="18">
        <v>305</v>
      </c>
      <c r="G16" s="18">
        <v>140</v>
      </c>
      <c r="H16" s="18">
        <v>143</v>
      </c>
      <c r="I16" s="18">
        <v>180000</v>
      </c>
      <c r="J16" s="18">
        <v>181000</v>
      </c>
      <c r="K16" s="32">
        <f t="shared" si="0"/>
        <v>2850000</v>
      </c>
      <c r="L16" s="18">
        <f t="shared" si="1"/>
        <v>2806000</v>
      </c>
      <c r="M16" s="18">
        <f t="shared" si="2"/>
        <v>-90000</v>
      </c>
      <c r="N16" s="18">
        <f t="shared" si="3"/>
        <v>46000</v>
      </c>
      <c r="O16" s="18">
        <f t="shared" si="4"/>
        <v>-44000</v>
      </c>
      <c r="P16" s="18">
        <f t="shared" si="5"/>
        <v>1330000</v>
      </c>
      <c r="Q16" s="18">
        <f t="shared" si="6"/>
        <v>1315600</v>
      </c>
      <c r="R16" s="18">
        <f t="shared" si="7"/>
        <v>-14400</v>
      </c>
    </row>
    <row r="17" spans="1:18" ht="15.6" x14ac:dyDescent="0.3">
      <c r="A17" s="37">
        <v>45444</v>
      </c>
      <c r="B17" s="16" t="s">
        <v>14</v>
      </c>
      <c r="C17" s="16">
        <v>8200</v>
      </c>
      <c r="D17" s="16">
        <v>8350</v>
      </c>
      <c r="E17" s="18">
        <v>800</v>
      </c>
      <c r="F17" s="18">
        <v>798.5</v>
      </c>
      <c r="G17" s="18">
        <v>500</v>
      </c>
      <c r="H17" s="18">
        <v>502.2</v>
      </c>
      <c r="I17" s="18">
        <v>300000</v>
      </c>
      <c r="J17" s="18">
        <v>299000</v>
      </c>
      <c r="K17" s="32">
        <f t="shared" si="0"/>
        <v>6560000</v>
      </c>
      <c r="L17" s="18">
        <f t="shared" si="1"/>
        <v>6667475</v>
      </c>
      <c r="M17" s="18">
        <f t="shared" si="2"/>
        <v>120000</v>
      </c>
      <c r="N17" s="18">
        <f t="shared" si="3"/>
        <v>-12525</v>
      </c>
      <c r="O17" s="18">
        <f t="shared" si="4"/>
        <v>107475</v>
      </c>
      <c r="P17" s="18">
        <f t="shared" si="5"/>
        <v>4100000</v>
      </c>
      <c r="Q17" s="18">
        <f t="shared" si="6"/>
        <v>4193370</v>
      </c>
      <c r="R17" s="18">
        <f t="shared" si="7"/>
        <v>93370</v>
      </c>
    </row>
    <row r="18" spans="1:18" ht="15.6" x14ac:dyDescent="0.3">
      <c r="A18" s="37">
        <v>45474</v>
      </c>
      <c r="B18" s="16" t="s">
        <v>11</v>
      </c>
      <c r="C18" s="16">
        <v>15000</v>
      </c>
      <c r="D18" s="16">
        <v>14800</v>
      </c>
      <c r="E18" s="18">
        <v>250</v>
      </c>
      <c r="F18" s="18">
        <v>249</v>
      </c>
      <c r="G18" s="18">
        <v>120</v>
      </c>
      <c r="H18" s="18">
        <v>121.5</v>
      </c>
      <c r="I18" s="18">
        <v>200000</v>
      </c>
      <c r="J18" s="18">
        <v>204000</v>
      </c>
      <c r="K18" s="32">
        <f t="shared" si="0"/>
        <v>3750000</v>
      </c>
      <c r="L18" s="18">
        <f t="shared" si="1"/>
        <v>3685200</v>
      </c>
      <c r="M18" s="18">
        <f t="shared" si="2"/>
        <v>-50000</v>
      </c>
      <c r="N18" s="18">
        <f t="shared" si="3"/>
        <v>-14800</v>
      </c>
      <c r="O18" s="18">
        <f t="shared" si="4"/>
        <v>-64800</v>
      </c>
      <c r="P18" s="18">
        <f t="shared" si="5"/>
        <v>1800000</v>
      </c>
      <c r="Q18" s="18">
        <f t="shared" si="6"/>
        <v>1798200</v>
      </c>
      <c r="R18" s="18">
        <f t="shared" si="7"/>
        <v>-1800</v>
      </c>
    </row>
    <row r="19" spans="1:18" ht="15.6" x14ac:dyDescent="0.3">
      <c r="A19" s="37">
        <v>45474</v>
      </c>
      <c r="B19" s="16" t="s">
        <v>12</v>
      </c>
      <c r="C19" s="16">
        <v>25000</v>
      </c>
      <c r="D19" s="16">
        <v>25300</v>
      </c>
      <c r="E19" s="18">
        <v>150</v>
      </c>
      <c r="F19" s="18">
        <v>150</v>
      </c>
      <c r="G19" s="18">
        <v>70</v>
      </c>
      <c r="H19" s="18">
        <v>70.5</v>
      </c>
      <c r="I19" s="18">
        <v>150000</v>
      </c>
      <c r="J19" s="18">
        <v>148500</v>
      </c>
      <c r="K19" s="32">
        <f t="shared" si="0"/>
        <v>3750000</v>
      </c>
      <c r="L19" s="18">
        <f t="shared" si="1"/>
        <v>3795000</v>
      </c>
      <c r="M19" s="18">
        <f t="shared" si="2"/>
        <v>45000</v>
      </c>
      <c r="N19" s="18">
        <f t="shared" si="3"/>
        <v>0</v>
      </c>
      <c r="O19" s="18">
        <f t="shared" si="4"/>
        <v>45000</v>
      </c>
      <c r="P19" s="18">
        <f t="shared" si="5"/>
        <v>1750000</v>
      </c>
      <c r="Q19" s="18">
        <f t="shared" si="6"/>
        <v>1783650</v>
      </c>
      <c r="R19" s="18">
        <f t="shared" si="7"/>
        <v>33650</v>
      </c>
    </row>
    <row r="20" spans="1:18" ht="15.6" x14ac:dyDescent="0.3">
      <c r="A20" s="37">
        <v>45474</v>
      </c>
      <c r="B20" s="16" t="s">
        <v>13</v>
      </c>
      <c r="C20" s="16">
        <v>10000</v>
      </c>
      <c r="D20" s="16">
        <v>10400</v>
      </c>
      <c r="E20" s="18">
        <v>300</v>
      </c>
      <c r="F20" s="18">
        <v>298</v>
      </c>
      <c r="G20" s="18">
        <v>140</v>
      </c>
      <c r="H20" s="18">
        <v>138.5</v>
      </c>
      <c r="I20" s="18">
        <v>180000</v>
      </c>
      <c r="J20" s="18">
        <v>178000</v>
      </c>
      <c r="K20" s="32">
        <f t="shared" si="0"/>
        <v>3000000</v>
      </c>
      <c r="L20" s="18">
        <f t="shared" si="1"/>
        <v>3099200</v>
      </c>
      <c r="M20" s="18">
        <f t="shared" si="2"/>
        <v>120000</v>
      </c>
      <c r="N20" s="18">
        <f t="shared" si="3"/>
        <v>-20800</v>
      </c>
      <c r="O20" s="18">
        <f t="shared" si="4"/>
        <v>99200</v>
      </c>
      <c r="P20" s="18">
        <f t="shared" si="5"/>
        <v>1400000</v>
      </c>
      <c r="Q20" s="18">
        <f t="shared" si="6"/>
        <v>1440400</v>
      </c>
      <c r="R20" s="18">
        <f t="shared" si="7"/>
        <v>40400</v>
      </c>
    </row>
    <row r="21" spans="1:18" ht="15.6" x14ac:dyDescent="0.3">
      <c r="A21" s="37">
        <v>45474</v>
      </c>
      <c r="B21" s="16" t="s">
        <v>14</v>
      </c>
      <c r="C21" s="16">
        <v>8000</v>
      </c>
      <c r="D21" s="16">
        <v>7800</v>
      </c>
      <c r="E21" s="18">
        <v>800</v>
      </c>
      <c r="F21" s="18">
        <v>802</v>
      </c>
      <c r="G21" s="18">
        <v>500</v>
      </c>
      <c r="H21" s="18">
        <v>498</v>
      </c>
      <c r="I21" s="18">
        <v>300000</v>
      </c>
      <c r="J21" s="18">
        <v>301500</v>
      </c>
      <c r="K21" s="32">
        <f t="shared" si="0"/>
        <v>6400000</v>
      </c>
      <c r="L21" s="18">
        <f t="shared" si="1"/>
        <v>6255600</v>
      </c>
      <c r="M21" s="18">
        <f t="shared" si="2"/>
        <v>-160000</v>
      </c>
      <c r="N21" s="18">
        <f t="shared" si="3"/>
        <v>15600</v>
      </c>
      <c r="O21" s="18">
        <f t="shared" si="4"/>
        <v>-144400</v>
      </c>
      <c r="P21" s="18">
        <f t="shared" si="5"/>
        <v>4000000</v>
      </c>
      <c r="Q21" s="18">
        <f t="shared" si="6"/>
        <v>3884400</v>
      </c>
      <c r="R21" s="18">
        <f t="shared" si="7"/>
        <v>-115600</v>
      </c>
    </row>
    <row r="22" spans="1:18" ht="15.6" x14ac:dyDescent="0.3">
      <c r="A22" s="37">
        <v>45505</v>
      </c>
      <c r="B22" s="16" t="s">
        <v>11</v>
      </c>
      <c r="C22" s="16">
        <v>14500</v>
      </c>
      <c r="D22" s="16">
        <v>14650</v>
      </c>
      <c r="E22" s="18">
        <v>250</v>
      </c>
      <c r="F22" s="18">
        <v>250</v>
      </c>
      <c r="G22" s="18">
        <v>120</v>
      </c>
      <c r="H22" s="18">
        <v>119</v>
      </c>
      <c r="I22" s="18">
        <v>200000</v>
      </c>
      <c r="J22" s="18">
        <v>200500</v>
      </c>
      <c r="K22" s="32">
        <f t="shared" si="0"/>
        <v>3625000</v>
      </c>
      <c r="L22" s="18">
        <f t="shared" si="1"/>
        <v>3662500</v>
      </c>
      <c r="M22" s="18">
        <f t="shared" si="2"/>
        <v>37500</v>
      </c>
      <c r="N22" s="18">
        <f t="shared" si="3"/>
        <v>0</v>
      </c>
      <c r="O22" s="18">
        <f t="shared" si="4"/>
        <v>37500</v>
      </c>
      <c r="P22" s="18">
        <f t="shared" si="5"/>
        <v>1740000</v>
      </c>
      <c r="Q22" s="18">
        <f t="shared" si="6"/>
        <v>1743350</v>
      </c>
      <c r="R22" s="18">
        <f t="shared" si="7"/>
        <v>3350</v>
      </c>
    </row>
    <row r="23" spans="1:18" ht="15.6" x14ac:dyDescent="0.3">
      <c r="A23" s="37">
        <v>45505</v>
      </c>
      <c r="B23" s="16" t="s">
        <v>12</v>
      </c>
      <c r="C23" s="16">
        <v>25500</v>
      </c>
      <c r="D23" s="16">
        <v>25800</v>
      </c>
      <c r="E23" s="18">
        <v>150</v>
      </c>
      <c r="F23" s="18">
        <v>149.5</v>
      </c>
      <c r="G23" s="18">
        <v>70</v>
      </c>
      <c r="H23" s="18">
        <v>72</v>
      </c>
      <c r="I23" s="18">
        <v>150000</v>
      </c>
      <c r="J23" s="18">
        <v>151500</v>
      </c>
      <c r="K23" s="32">
        <f t="shared" si="0"/>
        <v>3825000</v>
      </c>
      <c r="L23" s="18">
        <f t="shared" si="1"/>
        <v>3857100</v>
      </c>
      <c r="M23" s="18">
        <f t="shared" si="2"/>
        <v>45000</v>
      </c>
      <c r="N23" s="18">
        <f t="shared" si="3"/>
        <v>-12900</v>
      </c>
      <c r="O23" s="18">
        <f t="shared" si="4"/>
        <v>32100</v>
      </c>
      <c r="P23" s="18">
        <f t="shared" si="5"/>
        <v>1785000</v>
      </c>
      <c r="Q23" s="18">
        <f t="shared" si="6"/>
        <v>1857600</v>
      </c>
      <c r="R23" s="18">
        <f t="shared" si="7"/>
        <v>72600</v>
      </c>
    </row>
    <row r="24" spans="1:18" ht="15.6" x14ac:dyDescent="0.3">
      <c r="A24" s="37">
        <v>45505</v>
      </c>
      <c r="B24" s="16" t="s">
        <v>13</v>
      </c>
      <c r="C24" s="16">
        <v>10500</v>
      </c>
      <c r="D24" s="16">
        <v>10200</v>
      </c>
      <c r="E24" s="18">
        <v>300</v>
      </c>
      <c r="F24" s="18">
        <v>302.5</v>
      </c>
      <c r="G24" s="18">
        <v>140</v>
      </c>
      <c r="H24" s="18">
        <v>141</v>
      </c>
      <c r="I24" s="18">
        <v>180000</v>
      </c>
      <c r="J24" s="18">
        <v>182500</v>
      </c>
      <c r="K24" s="32">
        <f t="shared" si="0"/>
        <v>3150000</v>
      </c>
      <c r="L24" s="18">
        <f t="shared" si="1"/>
        <v>3085500</v>
      </c>
      <c r="M24" s="18">
        <f t="shared" si="2"/>
        <v>-90000</v>
      </c>
      <c r="N24" s="18">
        <f t="shared" si="3"/>
        <v>25500</v>
      </c>
      <c r="O24" s="18">
        <f t="shared" si="4"/>
        <v>-64500</v>
      </c>
      <c r="P24" s="18">
        <f t="shared" si="5"/>
        <v>1470000</v>
      </c>
      <c r="Q24" s="18">
        <f t="shared" si="6"/>
        <v>1438200</v>
      </c>
      <c r="R24" s="18">
        <f t="shared" si="7"/>
        <v>-31800</v>
      </c>
    </row>
    <row r="25" spans="1:18" ht="15.6" x14ac:dyDescent="0.3">
      <c r="A25" s="37">
        <v>45505</v>
      </c>
      <c r="B25" s="16" t="s">
        <v>14</v>
      </c>
      <c r="C25" s="16">
        <v>7800</v>
      </c>
      <c r="D25" s="16">
        <v>7950</v>
      </c>
      <c r="E25" s="18">
        <v>800</v>
      </c>
      <c r="F25" s="18">
        <v>795</v>
      </c>
      <c r="G25" s="18">
        <v>500</v>
      </c>
      <c r="H25" s="18">
        <v>504.5</v>
      </c>
      <c r="I25" s="18">
        <v>300000</v>
      </c>
      <c r="J25" s="18">
        <v>297000</v>
      </c>
      <c r="K25" s="32">
        <f t="shared" si="0"/>
        <v>6240000</v>
      </c>
      <c r="L25" s="18">
        <f t="shared" si="1"/>
        <v>6320250</v>
      </c>
      <c r="M25" s="18">
        <f t="shared" si="2"/>
        <v>120000</v>
      </c>
      <c r="N25" s="18">
        <f t="shared" si="3"/>
        <v>-39750</v>
      </c>
      <c r="O25" s="18">
        <f t="shared" si="4"/>
        <v>80250</v>
      </c>
      <c r="P25" s="18">
        <f t="shared" si="5"/>
        <v>3900000</v>
      </c>
      <c r="Q25" s="18">
        <f t="shared" si="6"/>
        <v>4010775</v>
      </c>
      <c r="R25" s="18">
        <f t="shared" si="7"/>
        <v>110775</v>
      </c>
    </row>
    <row r="26" spans="1:18" ht="15.6" x14ac:dyDescent="0.3">
      <c r="A26" s="37">
        <v>45536</v>
      </c>
      <c r="B26" s="16" t="s">
        <v>11</v>
      </c>
      <c r="C26" s="16">
        <v>14000</v>
      </c>
      <c r="D26" s="16">
        <v>13800</v>
      </c>
      <c r="E26" s="18">
        <v>250</v>
      </c>
      <c r="F26" s="18">
        <v>251.5</v>
      </c>
      <c r="G26" s="18">
        <v>120</v>
      </c>
      <c r="H26" s="18">
        <v>120.5</v>
      </c>
      <c r="I26" s="18">
        <v>200000</v>
      </c>
      <c r="J26" s="18">
        <v>198500</v>
      </c>
      <c r="K26" s="32">
        <f t="shared" si="0"/>
        <v>3500000</v>
      </c>
      <c r="L26" s="18">
        <f t="shared" si="1"/>
        <v>3470700</v>
      </c>
      <c r="M26" s="18">
        <f t="shared" si="2"/>
        <v>-50000</v>
      </c>
      <c r="N26" s="18">
        <f t="shared" si="3"/>
        <v>20700</v>
      </c>
      <c r="O26" s="18">
        <f t="shared" si="4"/>
        <v>-29300</v>
      </c>
      <c r="P26" s="18">
        <f t="shared" si="5"/>
        <v>1680000</v>
      </c>
      <c r="Q26" s="18">
        <f t="shared" si="6"/>
        <v>1662900</v>
      </c>
      <c r="R26" s="18">
        <f t="shared" si="7"/>
        <v>-17100</v>
      </c>
    </row>
    <row r="27" spans="1:18" ht="15.6" x14ac:dyDescent="0.3">
      <c r="A27" s="37">
        <v>45536</v>
      </c>
      <c r="B27" s="16" t="s">
        <v>12</v>
      </c>
      <c r="C27" s="16">
        <v>26000</v>
      </c>
      <c r="D27" s="16">
        <v>25900</v>
      </c>
      <c r="E27" s="18">
        <v>150</v>
      </c>
      <c r="F27" s="18">
        <v>150.5</v>
      </c>
      <c r="G27" s="18">
        <v>70</v>
      </c>
      <c r="H27" s="18">
        <v>69</v>
      </c>
      <c r="I27" s="18">
        <v>150000</v>
      </c>
      <c r="J27" s="18">
        <v>149500</v>
      </c>
      <c r="K27" s="32">
        <f t="shared" si="0"/>
        <v>3900000</v>
      </c>
      <c r="L27" s="18">
        <f t="shared" si="1"/>
        <v>3897950</v>
      </c>
      <c r="M27" s="18">
        <f t="shared" si="2"/>
        <v>-15000</v>
      </c>
      <c r="N27" s="18">
        <f t="shared" si="3"/>
        <v>12950</v>
      </c>
      <c r="O27" s="18">
        <f t="shared" si="4"/>
        <v>-2050</v>
      </c>
      <c r="P27" s="18">
        <f t="shared" si="5"/>
        <v>1820000</v>
      </c>
      <c r="Q27" s="18">
        <f t="shared" si="6"/>
        <v>1787100</v>
      </c>
      <c r="R27" s="18">
        <f t="shared" si="7"/>
        <v>-32900</v>
      </c>
    </row>
    <row r="28" spans="1:18" ht="15.6" x14ac:dyDescent="0.3">
      <c r="A28" s="37">
        <v>45536</v>
      </c>
      <c r="B28" s="16" t="s">
        <v>13</v>
      </c>
      <c r="C28" s="16">
        <v>11000</v>
      </c>
      <c r="D28" s="16">
        <v>11350</v>
      </c>
      <c r="E28" s="18">
        <v>300</v>
      </c>
      <c r="F28" s="18">
        <v>299</v>
      </c>
      <c r="G28" s="18">
        <v>140</v>
      </c>
      <c r="H28" s="18">
        <v>139.19999999999999</v>
      </c>
      <c r="I28" s="18">
        <v>180000</v>
      </c>
      <c r="J28" s="18">
        <v>179000</v>
      </c>
      <c r="K28" s="32">
        <f t="shared" si="0"/>
        <v>3300000</v>
      </c>
      <c r="L28" s="18">
        <f t="shared" si="1"/>
        <v>3393650</v>
      </c>
      <c r="M28" s="18">
        <f t="shared" si="2"/>
        <v>105000</v>
      </c>
      <c r="N28" s="18">
        <f t="shared" si="3"/>
        <v>-11350</v>
      </c>
      <c r="O28" s="18">
        <f t="shared" si="4"/>
        <v>93650</v>
      </c>
      <c r="P28" s="18">
        <f t="shared" si="5"/>
        <v>1540000</v>
      </c>
      <c r="Q28" s="18">
        <f t="shared" si="6"/>
        <v>1579919.9999999998</v>
      </c>
      <c r="R28" s="18">
        <f t="shared" si="7"/>
        <v>39919.999999999767</v>
      </c>
    </row>
    <row r="29" spans="1:18" ht="15.6" x14ac:dyDescent="0.3">
      <c r="A29" s="37">
        <v>45536</v>
      </c>
      <c r="B29" s="16" t="s">
        <v>14</v>
      </c>
      <c r="C29" s="16">
        <v>7900</v>
      </c>
      <c r="D29" s="16">
        <v>8050</v>
      </c>
      <c r="E29" s="18">
        <v>800</v>
      </c>
      <c r="F29" s="18">
        <v>801.5</v>
      </c>
      <c r="G29" s="18">
        <v>500</v>
      </c>
      <c r="H29" s="18">
        <v>499.5</v>
      </c>
      <c r="I29" s="18">
        <v>300000</v>
      </c>
      <c r="J29" s="18">
        <v>303000</v>
      </c>
      <c r="K29" s="32">
        <f t="shared" si="0"/>
        <v>6320000</v>
      </c>
      <c r="L29" s="18">
        <f t="shared" si="1"/>
        <v>6452075</v>
      </c>
      <c r="M29" s="18">
        <f t="shared" si="2"/>
        <v>120000</v>
      </c>
      <c r="N29" s="18">
        <f t="shared" si="3"/>
        <v>12075</v>
      </c>
      <c r="O29" s="18">
        <f t="shared" si="4"/>
        <v>132075</v>
      </c>
      <c r="P29" s="18">
        <f t="shared" si="5"/>
        <v>3950000</v>
      </c>
      <c r="Q29" s="18">
        <f t="shared" si="6"/>
        <v>4020975</v>
      </c>
      <c r="R29" s="18">
        <f t="shared" si="7"/>
        <v>70975</v>
      </c>
    </row>
    <row r="30" spans="1:18" ht="15.6" x14ac:dyDescent="0.3">
      <c r="A30" s="37">
        <v>45566</v>
      </c>
      <c r="B30" s="16" t="s">
        <v>11</v>
      </c>
      <c r="C30" s="16">
        <v>13500</v>
      </c>
      <c r="D30" s="16">
        <v>13700</v>
      </c>
      <c r="E30" s="18">
        <v>250</v>
      </c>
      <c r="F30" s="18">
        <v>248</v>
      </c>
      <c r="G30" s="18">
        <v>120</v>
      </c>
      <c r="H30" s="18">
        <v>122.5</v>
      </c>
      <c r="I30" s="18">
        <v>200000</v>
      </c>
      <c r="J30" s="18">
        <v>202500</v>
      </c>
      <c r="K30" s="32">
        <f t="shared" si="0"/>
        <v>3375000</v>
      </c>
      <c r="L30" s="18">
        <f t="shared" si="1"/>
        <v>3397600</v>
      </c>
      <c r="M30" s="18">
        <f t="shared" si="2"/>
        <v>50000</v>
      </c>
      <c r="N30" s="18">
        <f t="shared" si="3"/>
        <v>-27400</v>
      </c>
      <c r="O30" s="18">
        <f t="shared" si="4"/>
        <v>22600</v>
      </c>
      <c r="P30" s="18">
        <f t="shared" si="5"/>
        <v>1620000</v>
      </c>
      <c r="Q30" s="18">
        <f t="shared" si="6"/>
        <v>1678250</v>
      </c>
      <c r="R30" s="18">
        <f t="shared" si="7"/>
        <v>58250</v>
      </c>
    </row>
    <row r="31" spans="1:18" ht="15.6" x14ac:dyDescent="0.3">
      <c r="A31" s="37">
        <v>45566</v>
      </c>
      <c r="B31" s="16" t="s">
        <v>12</v>
      </c>
      <c r="C31" s="16">
        <v>27000</v>
      </c>
      <c r="D31" s="16">
        <v>27500</v>
      </c>
      <c r="E31" s="18">
        <v>150</v>
      </c>
      <c r="F31" s="18">
        <v>148</v>
      </c>
      <c r="G31" s="18">
        <v>70</v>
      </c>
      <c r="H31" s="18">
        <v>71.5</v>
      </c>
      <c r="I31" s="18">
        <v>150000</v>
      </c>
      <c r="J31" s="18">
        <v>153000</v>
      </c>
      <c r="K31" s="32">
        <f t="shared" si="0"/>
        <v>4050000</v>
      </c>
      <c r="L31" s="18">
        <f t="shared" si="1"/>
        <v>4070000</v>
      </c>
      <c r="M31" s="18">
        <f t="shared" si="2"/>
        <v>75000</v>
      </c>
      <c r="N31" s="18">
        <f t="shared" si="3"/>
        <v>-55000</v>
      </c>
      <c r="O31" s="18">
        <f t="shared" si="4"/>
        <v>20000</v>
      </c>
      <c r="P31" s="18">
        <f t="shared" si="5"/>
        <v>1890000</v>
      </c>
      <c r="Q31" s="18">
        <f t="shared" si="6"/>
        <v>1966250</v>
      </c>
      <c r="R31" s="18">
        <f t="shared" si="7"/>
        <v>76250</v>
      </c>
    </row>
    <row r="32" spans="1:18" ht="15.6" x14ac:dyDescent="0.3">
      <c r="A32" s="37">
        <v>45566</v>
      </c>
      <c r="B32" s="16" t="s">
        <v>13</v>
      </c>
      <c r="C32" s="16">
        <v>12000</v>
      </c>
      <c r="D32" s="16">
        <v>12450</v>
      </c>
      <c r="E32" s="18">
        <v>300</v>
      </c>
      <c r="F32" s="18">
        <v>295.5</v>
      </c>
      <c r="G32" s="18">
        <v>140</v>
      </c>
      <c r="H32" s="18">
        <v>144</v>
      </c>
      <c r="I32" s="18">
        <v>180000</v>
      </c>
      <c r="J32" s="18">
        <v>185000</v>
      </c>
      <c r="K32" s="32">
        <f t="shared" si="0"/>
        <v>3600000</v>
      </c>
      <c r="L32" s="18">
        <f t="shared" si="1"/>
        <v>3678975</v>
      </c>
      <c r="M32" s="18">
        <f t="shared" si="2"/>
        <v>135000</v>
      </c>
      <c r="N32" s="18">
        <f t="shared" si="3"/>
        <v>-56025</v>
      </c>
      <c r="O32" s="18">
        <f t="shared" si="4"/>
        <v>78975</v>
      </c>
      <c r="P32" s="18">
        <f t="shared" si="5"/>
        <v>1680000</v>
      </c>
      <c r="Q32" s="18">
        <f t="shared" si="6"/>
        <v>1792800</v>
      </c>
      <c r="R32" s="18">
        <f t="shared" si="7"/>
        <v>112800</v>
      </c>
    </row>
    <row r="33" spans="1:18" ht="15.6" x14ac:dyDescent="0.3">
      <c r="A33" s="37">
        <v>45566</v>
      </c>
      <c r="B33" s="16" t="s">
        <v>14</v>
      </c>
      <c r="C33" s="16">
        <v>8500</v>
      </c>
      <c r="D33" s="16">
        <v>8800</v>
      </c>
      <c r="E33" s="18">
        <v>800</v>
      </c>
      <c r="F33" s="18">
        <v>790</v>
      </c>
      <c r="G33" s="18">
        <v>500</v>
      </c>
      <c r="H33" s="18">
        <v>510</v>
      </c>
      <c r="I33" s="18">
        <v>300000</v>
      </c>
      <c r="J33" s="18">
        <v>308000</v>
      </c>
      <c r="K33" s="32">
        <f t="shared" si="0"/>
        <v>6800000</v>
      </c>
      <c r="L33" s="18">
        <f t="shared" si="1"/>
        <v>6952000</v>
      </c>
      <c r="M33" s="18">
        <f t="shared" si="2"/>
        <v>240000</v>
      </c>
      <c r="N33" s="18">
        <f t="shared" si="3"/>
        <v>-88000</v>
      </c>
      <c r="O33" s="18">
        <f t="shared" si="4"/>
        <v>152000</v>
      </c>
      <c r="P33" s="18">
        <f t="shared" si="5"/>
        <v>4250000</v>
      </c>
      <c r="Q33" s="18">
        <f t="shared" si="6"/>
        <v>4488000</v>
      </c>
      <c r="R33" s="18">
        <f t="shared" si="7"/>
        <v>238000</v>
      </c>
    </row>
    <row r="34" spans="1:18" ht="15.6" x14ac:dyDescent="0.3">
      <c r="A34" s="37">
        <v>45597</v>
      </c>
      <c r="B34" s="16" t="s">
        <v>11</v>
      </c>
      <c r="C34" s="16">
        <v>13000</v>
      </c>
      <c r="D34" s="16">
        <v>12850</v>
      </c>
      <c r="E34" s="18">
        <v>250</v>
      </c>
      <c r="F34" s="18">
        <v>252.5</v>
      </c>
      <c r="G34" s="18">
        <v>120</v>
      </c>
      <c r="H34" s="18">
        <v>118.5</v>
      </c>
      <c r="I34" s="18">
        <v>200000</v>
      </c>
      <c r="J34" s="18">
        <v>199500</v>
      </c>
      <c r="K34" s="32">
        <f t="shared" si="0"/>
        <v>3250000</v>
      </c>
      <c r="L34" s="18">
        <f t="shared" si="1"/>
        <v>3244625</v>
      </c>
      <c r="M34" s="18">
        <f t="shared" si="2"/>
        <v>-37500</v>
      </c>
      <c r="N34" s="18">
        <f t="shared" si="3"/>
        <v>32125</v>
      </c>
      <c r="O34" s="18">
        <f t="shared" si="4"/>
        <v>-5375</v>
      </c>
      <c r="P34" s="18">
        <f t="shared" si="5"/>
        <v>1560000</v>
      </c>
      <c r="Q34" s="18">
        <f t="shared" si="6"/>
        <v>1522725</v>
      </c>
      <c r="R34" s="18">
        <f t="shared" si="7"/>
        <v>-37275</v>
      </c>
    </row>
    <row r="35" spans="1:18" ht="15.6" x14ac:dyDescent="0.3">
      <c r="A35" s="37">
        <v>45597</v>
      </c>
      <c r="B35" s="16" t="s">
        <v>12</v>
      </c>
      <c r="C35" s="16">
        <v>28000</v>
      </c>
      <c r="D35" s="16">
        <v>27950</v>
      </c>
      <c r="E35" s="18">
        <v>150</v>
      </c>
      <c r="F35" s="18">
        <v>151</v>
      </c>
      <c r="G35" s="18">
        <v>70</v>
      </c>
      <c r="H35" s="18">
        <v>68.8</v>
      </c>
      <c r="I35" s="18">
        <v>150000</v>
      </c>
      <c r="J35" s="18">
        <v>148000</v>
      </c>
      <c r="K35" s="32">
        <f t="shared" si="0"/>
        <v>4200000</v>
      </c>
      <c r="L35" s="18">
        <f t="shared" si="1"/>
        <v>4220450</v>
      </c>
      <c r="M35" s="18">
        <f t="shared" si="2"/>
        <v>-7500</v>
      </c>
      <c r="N35" s="18">
        <f t="shared" si="3"/>
        <v>27950</v>
      </c>
      <c r="O35" s="18">
        <f t="shared" si="4"/>
        <v>20450</v>
      </c>
      <c r="P35" s="18">
        <f t="shared" si="5"/>
        <v>1960000</v>
      </c>
      <c r="Q35" s="18">
        <f t="shared" si="6"/>
        <v>1922960</v>
      </c>
      <c r="R35" s="18">
        <f t="shared" si="7"/>
        <v>-37040</v>
      </c>
    </row>
    <row r="36" spans="1:18" ht="15.6" x14ac:dyDescent="0.3">
      <c r="A36" s="37">
        <v>45597</v>
      </c>
      <c r="B36" s="16" t="s">
        <v>13</v>
      </c>
      <c r="C36" s="16">
        <v>12500</v>
      </c>
      <c r="D36" s="16">
        <v>12200</v>
      </c>
      <c r="E36" s="18">
        <v>300</v>
      </c>
      <c r="F36" s="18">
        <v>304</v>
      </c>
      <c r="G36" s="18">
        <v>140</v>
      </c>
      <c r="H36" s="18">
        <v>138</v>
      </c>
      <c r="I36" s="18">
        <v>180000</v>
      </c>
      <c r="J36" s="18">
        <v>177500</v>
      </c>
      <c r="K36" s="32">
        <f t="shared" si="0"/>
        <v>3750000</v>
      </c>
      <c r="L36" s="18">
        <f t="shared" si="1"/>
        <v>3708800</v>
      </c>
      <c r="M36" s="18">
        <f t="shared" si="2"/>
        <v>-90000</v>
      </c>
      <c r="N36" s="18">
        <f t="shared" si="3"/>
        <v>48800</v>
      </c>
      <c r="O36" s="18">
        <f t="shared" si="4"/>
        <v>-41200</v>
      </c>
      <c r="P36" s="18">
        <f t="shared" si="5"/>
        <v>1750000</v>
      </c>
      <c r="Q36" s="18">
        <f t="shared" si="6"/>
        <v>1683600</v>
      </c>
      <c r="R36" s="18">
        <f t="shared" si="7"/>
        <v>-66400</v>
      </c>
    </row>
    <row r="37" spans="1:18" ht="15.6" x14ac:dyDescent="0.3">
      <c r="A37" s="37">
        <v>45597</v>
      </c>
      <c r="B37" s="16" t="s">
        <v>14</v>
      </c>
      <c r="C37" s="16">
        <v>8600</v>
      </c>
      <c r="D37" s="16">
        <v>8450</v>
      </c>
      <c r="E37" s="18">
        <v>800</v>
      </c>
      <c r="F37" s="18">
        <v>805</v>
      </c>
      <c r="G37" s="18">
        <v>500</v>
      </c>
      <c r="H37" s="18">
        <v>497.5</v>
      </c>
      <c r="I37" s="18">
        <v>300000</v>
      </c>
      <c r="J37" s="18">
        <v>299500</v>
      </c>
      <c r="K37" s="32">
        <f t="shared" si="0"/>
        <v>6880000</v>
      </c>
      <c r="L37" s="18">
        <f t="shared" si="1"/>
        <v>6802250</v>
      </c>
      <c r="M37" s="18">
        <f t="shared" si="2"/>
        <v>-120000</v>
      </c>
      <c r="N37" s="18">
        <f t="shared" si="3"/>
        <v>42250</v>
      </c>
      <c r="O37" s="18">
        <f t="shared" si="4"/>
        <v>-77750</v>
      </c>
      <c r="P37" s="18">
        <f t="shared" si="5"/>
        <v>4300000</v>
      </c>
      <c r="Q37" s="18">
        <f t="shared" si="6"/>
        <v>4203875</v>
      </c>
      <c r="R37" s="18">
        <f t="shared" si="7"/>
        <v>-96125</v>
      </c>
    </row>
    <row r="38" spans="1:18" ht="15.6" x14ac:dyDescent="0.3">
      <c r="A38" s="37">
        <v>45627</v>
      </c>
      <c r="B38" s="16" t="s">
        <v>11</v>
      </c>
      <c r="C38" s="16">
        <v>12500</v>
      </c>
      <c r="D38" s="16">
        <v>12600</v>
      </c>
      <c r="E38" s="18">
        <v>250</v>
      </c>
      <c r="F38" s="18">
        <v>250</v>
      </c>
      <c r="G38" s="18">
        <v>120</v>
      </c>
      <c r="H38" s="18">
        <v>121</v>
      </c>
      <c r="I38" s="18">
        <v>200000</v>
      </c>
      <c r="J38" s="18">
        <v>201000</v>
      </c>
      <c r="K38" s="32">
        <f t="shared" si="0"/>
        <v>3125000</v>
      </c>
      <c r="L38" s="18">
        <f t="shared" si="1"/>
        <v>3150000</v>
      </c>
      <c r="M38" s="18">
        <f t="shared" si="2"/>
        <v>25000</v>
      </c>
      <c r="N38" s="18">
        <f t="shared" si="3"/>
        <v>0</v>
      </c>
      <c r="O38" s="18">
        <f t="shared" si="4"/>
        <v>25000</v>
      </c>
      <c r="P38" s="18">
        <f t="shared" si="5"/>
        <v>1500000</v>
      </c>
      <c r="Q38" s="18">
        <f t="shared" si="6"/>
        <v>1524600</v>
      </c>
      <c r="R38" s="18">
        <f t="shared" si="7"/>
        <v>24600</v>
      </c>
    </row>
    <row r="39" spans="1:18" ht="15.6" x14ac:dyDescent="0.3">
      <c r="A39" s="37">
        <v>45627</v>
      </c>
      <c r="B39" s="16" t="s">
        <v>12</v>
      </c>
      <c r="C39" s="16">
        <v>29000</v>
      </c>
      <c r="D39" s="16">
        <v>29500</v>
      </c>
      <c r="E39" s="18">
        <v>150</v>
      </c>
      <c r="F39" s="18">
        <v>149</v>
      </c>
      <c r="G39" s="18">
        <v>70</v>
      </c>
      <c r="H39" s="18">
        <v>70.5</v>
      </c>
      <c r="I39" s="18">
        <v>150000</v>
      </c>
      <c r="J39" s="18">
        <v>151000</v>
      </c>
      <c r="K39" s="32">
        <f t="shared" si="0"/>
        <v>4350000</v>
      </c>
      <c r="L39" s="18">
        <f t="shared" si="1"/>
        <v>4395500</v>
      </c>
      <c r="M39" s="18">
        <f t="shared" si="2"/>
        <v>75000</v>
      </c>
      <c r="N39" s="18">
        <f t="shared" si="3"/>
        <v>-29500</v>
      </c>
      <c r="O39" s="18">
        <f t="shared" si="4"/>
        <v>45500</v>
      </c>
      <c r="P39" s="18">
        <f t="shared" si="5"/>
        <v>2030000</v>
      </c>
      <c r="Q39" s="18">
        <f t="shared" si="6"/>
        <v>2079750</v>
      </c>
      <c r="R39" s="18">
        <f t="shared" si="7"/>
        <v>49750</v>
      </c>
    </row>
    <row r="40" spans="1:18" ht="15.6" x14ac:dyDescent="0.3">
      <c r="A40" s="37">
        <v>45627</v>
      </c>
      <c r="B40" s="16" t="s">
        <v>13</v>
      </c>
      <c r="C40" s="16">
        <v>13000</v>
      </c>
      <c r="D40" s="16">
        <v>13300</v>
      </c>
      <c r="E40" s="18">
        <v>300</v>
      </c>
      <c r="F40" s="18">
        <v>298.5</v>
      </c>
      <c r="G40" s="18">
        <v>140</v>
      </c>
      <c r="H40" s="18">
        <v>142.5</v>
      </c>
      <c r="I40" s="18">
        <v>180000</v>
      </c>
      <c r="J40" s="18">
        <v>182000</v>
      </c>
      <c r="K40" s="32">
        <f t="shared" si="0"/>
        <v>3900000</v>
      </c>
      <c r="L40" s="18">
        <f t="shared" si="1"/>
        <v>3970050</v>
      </c>
      <c r="M40" s="18">
        <f t="shared" si="2"/>
        <v>90000</v>
      </c>
      <c r="N40" s="18">
        <f t="shared" si="3"/>
        <v>-19950</v>
      </c>
      <c r="O40" s="18">
        <f t="shared" si="4"/>
        <v>70050</v>
      </c>
      <c r="P40" s="18">
        <f t="shared" si="5"/>
        <v>1820000</v>
      </c>
      <c r="Q40" s="18">
        <f t="shared" si="6"/>
        <v>1895250</v>
      </c>
      <c r="R40" s="18">
        <f t="shared" si="7"/>
        <v>75250</v>
      </c>
    </row>
    <row r="41" spans="1:18" ht="15.6" x14ac:dyDescent="0.3">
      <c r="A41" s="37">
        <v>45627</v>
      </c>
      <c r="B41" s="16" t="s">
        <v>14</v>
      </c>
      <c r="C41" s="16">
        <v>8800</v>
      </c>
      <c r="D41" s="16">
        <v>8950</v>
      </c>
      <c r="E41" s="18">
        <v>800</v>
      </c>
      <c r="F41" s="18">
        <v>795.5</v>
      </c>
      <c r="G41" s="18">
        <v>500</v>
      </c>
      <c r="H41" s="18">
        <v>503</v>
      </c>
      <c r="I41" s="18">
        <v>300000</v>
      </c>
      <c r="J41" s="18">
        <v>304500</v>
      </c>
      <c r="K41" s="32">
        <f t="shared" si="0"/>
        <v>7040000</v>
      </c>
      <c r="L41" s="18">
        <f t="shared" si="1"/>
        <v>7119725</v>
      </c>
      <c r="M41" s="18">
        <f t="shared" si="2"/>
        <v>120000</v>
      </c>
      <c r="N41" s="18">
        <f t="shared" si="3"/>
        <v>-40275</v>
      </c>
      <c r="O41" s="18">
        <f t="shared" si="4"/>
        <v>79725</v>
      </c>
      <c r="P41" s="18">
        <f t="shared" si="5"/>
        <v>4400000</v>
      </c>
      <c r="Q41" s="18">
        <f t="shared" si="6"/>
        <v>4501850</v>
      </c>
      <c r="R41" s="18">
        <f t="shared" si="7"/>
        <v>101850</v>
      </c>
    </row>
    <row r="42" spans="1:18" ht="15.6" x14ac:dyDescent="0.3">
      <c r="A42" s="37">
        <v>45658</v>
      </c>
      <c r="B42" s="16" t="s">
        <v>11</v>
      </c>
      <c r="C42" s="16">
        <v>13000</v>
      </c>
      <c r="D42" s="16">
        <v>12900</v>
      </c>
      <c r="E42" s="18">
        <v>250</v>
      </c>
      <c r="F42" s="18">
        <v>249.5</v>
      </c>
      <c r="G42" s="18">
        <v>120</v>
      </c>
      <c r="H42" s="18">
        <v>120</v>
      </c>
      <c r="I42" s="18">
        <v>200000</v>
      </c>
      <c r="J42" s="18">
        <v>198000</v>
      </c>
      <c r="K42" s="32">
        <f t="shared" si="0"/>
        <v>3250000</v>
      </c>
      <c r="L42" s="18">
        <f t="shared" si="1"/>
        <v>3218550</v>
      </c>
      <c r="M42" s="18">
        <f t="shared" si="2"/>
        <v>-25000</v>
      </c>
      <c r="N42" s="18">
        <f t="shared" si="3"/>
        <v>-6450</v>
      </c>
      <c r="O42" s="18">
        <f t="shared" si="4"/>
        <v>-31450</v>
      </c>
      <c r="P42" s="18">
        <f t="shared" si="5"/>
        <v>1560000</v>
      </c>
      <c r="Q42" s="18">
        <f t="shared" si="6"/>
        <v>1548000</v>
      </c>
      <c r="R42" s="18">
        <f t="shared" si="7"/>
        <v>-12000</v>
      </c>
    </row>
    <row r="43" spans="1:18" ht="15.6" x14ac:dyDescent="0.3">
      <c r="A43" s="37">
        <v>45658</v>
      </c>
      <c r="B43" s="16" t="s">
        <v>12</v>
      </c>
      <c r="C43" s="16">
        <v>28500</v>
      </c>
      <c r="D43" s="16">
        <v>28100</v>
      </c>
      <c r="E43" s="18">
        <v>150</v>
      </c>
      <c r="F43" s="18">
        <v>152</v>
      </c>
      <c r="G43" s="18">
        <v>70</v>
      </c>
      <c r="H43" s="18">
        <v>69.5</v>
      </c>
      <c r="I43" s="18">
        <v>150000</v>
      </c>
      <c r="J43" s="18">
        <v>149000</v>
      </c>
      <c r="K43" s="32">
        <f t="shared" si="0"/>
        <v>4275000</v>
      </c>
      <c r="L43" s="18">
        <f t="shared" si="1"/>
        <v>4271200</v>
      </c>
      <c r="M43" s="18">
        <f t="shared" si="2"/>
        <v>-60000</v>
      </c>
      <c r="N43" s="18">
        <f t="shared" si="3"/>
        <v>56200</v>
      </c>
      <c r="O43" s="18">
        <f t="shared" si="4"/>
        <v>-3800</v>
      </c>
      <c r="P43" s="18">
        <f t="shared" si="5"/>
        <v>1995000</v>
      </c>
      <c r="Q43" s="18">
        <f t="shared" si="6"/>
        <v>1952950</v>
      </c>
      <c r="R43" s="18">
        <f t="shared" si="7"/>
        <v>-42050</v>
      </c>
    </row>
    <row r="44" spans="1:18" ht="15.6" x14ac:dyDescent="0.3">
      <c r="A44" s="37">
        <v>45658</v>
      </c>
      <c r="B44" s="16" t="s">
        <v>13</v>
      </c>
      <c r="C44" s="16">
        <v>12800</v>
      </c>
      <c r="D44" s="16">
        <v>12650</v>
      </c>
      <c r="E44" s="18">
        <v>300</v>
      </c>
      <c r="F44" s="18">
        <v>301</v>
      </c>
      <c r="G44" s="18">
        <v>140</v>
      </c>
      <c r="H44" s="18">
        <v>139</v>
      </c>
      <c r="I44" s="18">
        <v>180000</v>
      </c>
      <c r="J44" s="18">
        <v>180500</v>
      </c>
      <c r="K44" s="32">
        <f t="shared" si="0"/>
        <v>3840000</v>
      </c>
      <c r="L44" s="18">
        <f t="shared" si="1"/>
        <v>3807650</v>
      </c>
      <c r="M44" s="18">
        <f t="shared" si="2"/>
        <v>-45000</v>
      </c>
      <c r="N44" s="18">
        <f t="shared" si="3"/>
        <v>12650</v>
      </c>
      <c r="O44" s="18">
        <f t="shared" si="4"/>
        <v>-32350</v>
      </c>
      <c r="P44" s="18">
        <f t="shared" si="5"/>
        <v>1792000</v>
      </c>
      <c r="Q44" s="18">
        <f t="shared" si="6"/>
        <v>1758350</v>
      </c>
      <c r="R44" s="18">
        <f t="shared" si="7"/>
        <v>-33650</v>
      </c>
    </row>
    <row r="45" spans="1:18" ht="15.6" x14ac:dyDescent="0.3">
      <c r="A45" s="37">
        <v>45658</v>
      </c>
      <c r="B45" s="16" t="s">
        <v>14</v>
      </c>
      <c r="C45" s="16">
        <v>8700</v>
      </c>
      <c r="D45" s="16">
        <v>8600</v>
      </c>
      <c r="E45" s="18">
        <v>800</v>
      </c>
      <c r="F45" s="18">
        <v>803</v>
      </c>
      <c r="G45" s="18">
        <v>500</v>
      </c>
      <c r="H45" s="18">
        <v>498.5</v>
      </c>
      <c r="I45" s="18">
        <v>300000</v>
      </c>
      <c r="J45" s="18">
        <v>301000</v>
      </c>
      <c r="K45" s="32">
        <f t="shared" si="0"/>
        <v>6960000</v>
      </c>
      <c r="L45" s="18">
        <f t="shared" si="1"/>
        <v>6905800</v>
      </c>
      <c r="M45" s="18">
        <f t="shared" si="2"/>
        <v>-80000</v>
      </c>
      <c r="N45" s="18">
        <f t="shared" si="3"/>
        <v>25800</v>
      </c>
      <c r="O45" s="18">
        <f t="shared" si="4"/>
        <v>-54200</v>
      </c>
      <c r="P45" s="18">
        <f t="shared" si="5"/>
        <v>4350000</v>
      </c>
      <c r="Q45" s="18">
        <f t="shared" si="6"/>
        <v>4287100</v>
      </c>
      <c r="R45" s="18">
        <f t="shared" si="7"/>
        <v>-62900</v>
      </c>
    </row>
    <row r="46" spans="1:18" ht="15.6" x14ac:dyDescent="0.3">
      <c r="A46" s="37">
        <v>45689</v>
      </c>
      <c r="B46" s="16" t="s">
        <v>11</v>
      </c>
      <c r="C46" s="16">
        <v>14000</v>
      </c>
      <c r="D46" s="16">
        <v>14200</v>
      </c>
      <c r="E46" s="18">
        <v>250</v>
      </c>
      <c r="F46" s="18">
        <v>251</v>
      </c>
      <c r="G46" s="18">
        <v>120</v>
      </c>
      <c r="H46" s="18">
        <v>121.8</v>
      </c>
      <c r="I46" s="18">
        <v>200000</v>
      </c>
      <c r="J46" s="18">
        <v>203500</v>
      </c>
      <c r="K46" s="32">
        <f t="shared" si="0"/>
        <v>3500000</v>
      </c>
      <c r="L46" s="18">
        <f t="shared" si="1"/>
        <v>3564200</v>
      </c>
      <c r="M46" s="18">
        <f t="shared" si="2"/>
        <v>50000</v>
      </c>
      <c r="N46" s="18">
        <f t="shared" si="3"/>
        <v>14200</v>
      </c>
      <c r="O46" s="18">
        <f t="shared" si="4"/>
        <v>64200</v>
      </c>
      <c r="P46" s="18">
        <f t="shared" si="5"/>
        <v>1680000</v>
      </c>
      <c r="Q46" s="18">
        <f t="shared" si="6"/>
        <v>1729560</v>
      </c>
      <c r="R46" s="18">
        <f t="shared" si="7"/>
        <v>49560</v>
      </c>
    </row>
    <row r="47" spans="1:18" ht="15.6" x14ac:dyDescent="0.3">
      <c r="A47" s="37">
        <v>45689</v>
      </c>
      <c r="B47" s="16" t="s">
        <v>12</v>
      </c>
      <c r="C47" s="16">
        <v>27000</v>
      </c>
      <c r="D47" s="16">
        <v>27300</v>
      </c>
      <c r="E47" s="18">
        <v>150</v>
      </c>
      <c r="F47" s="18">
        <v>148.5</v>
      </c>
      <c r="G47" s="18">
        <v>70</v>
      </c>
      <c r="H47" s="18">
        <v>71</v>
      </c>
      <c r="I47" s="18">
        <v>150000</v>
      </c>
      <c r="J47" s="18">
        <v>152500</v>
      </c>
      <c r="K47" s="32">
        <f t="shared" si="0"/>
        <v>4050000</v>
      </c>
      <c r="L47" s="18">
        <f t="shared" si="1"/>
        <v>4054050</v>
      </c>
      <c r="M47" s="18">
        <f t="shared" si="2"/>
        <v>45000</v>
      </c>
      <c r="N47" s="18">
        <f t="shared" si="3"/>
        <v>-40950</v>
      </c>
      <c r="O47" s="18">
        <f t="shared" si="4"/>
        <v>4050</v>
      </c>
      <c r="P47" s="18">
        <f t="shared" si="5"/>
        <v>1890000</v>
      </c>
      <c r="Q47" s="18">
        <f t="shared" si="6"/>
        <v>1938300</v>
      </c>
      <c r="R47" s="18">
        <f t="shared" si="7"/>
        <v>48300</v>
      </c>
    </row>
    <row r="48" spans="1:18" ht="15.6" x14ac:dyDescent="0.3">
      <c r="A48" s="37">
        <v>45689</v>
      </c>
      <c r="B48" s="16" t="s">
        <v>13</v>
      </c>
      <c r="C48" s="16">
        <v>11500</v>
      </c>
      <c r="D48" s="16">
        <v>11800</v>
      </c>
      <c r="E48" s="18">
        <v>300</v>
      </c>
      <c r="F48" s="18">
        <v>297</v>
      </c>
      <c r="G48" s="18">
        <v>140</v>
      </c>
      <c r="H48" s="18">
        <v>141.5</v>
      </c>
      <c r="I48" s="18">
        <v>180000</v>
      </c>
      <c r="J48" s="18">
        <v>184000</v>
      </c>
      <c r="K48" s="32">
        <f t="shared" si="0"/>
        <v>3450000</v>
      </c>
      <c r="L48" s="18">
        <f t="shared" si="1"/>
        <v>3504600</v>
      </c>
      <c r="M48" s="18">
        <f t="shared" si="2"/>
        <v>90000</v>
      </c>
      <c r="N48" s="18">
        <f t="shared" si="3"/>
        <v>-35400</v>
      </c>
      <c r="O48" s="18">
        <f t="shared" si="4"/>
        <v>54600</v>
      </c>
      <c r="P48" s="18">
        <f t="shared" si="5"/>
        <v>1610000</v>
      </c>
      <c r="Q48" s="18">
        <f t="shared" si="6"/>
        <v>1669700</v>
      </c>
      <c r="R48" s="18">
        <f t="shared" si="7"/>
        <v>59700</v>
      </c>
    </row>
    <row r="49" spans="1:18" ht="15.6" x14ac:dyDescent="0.3">
      <c r="A49" s="37">
        <v>45689</v>
      </c>
      <c r="B49" s="16" t="s">
        <v>14</v>
      </c>
      <c r="C49" s="16">
        <v>8400</v>
      </c>
      <c r="D49" s="16">
        <v>8550</v>
      </c>
      <c r="E49" s="18">
        <v>800</v>
      </c>
      <c r="F49" s="18">
        <v>798</v>
      </c>
      <c r="G49" s="18">
        <v>500</v>
      </c>
      <c r="H49" s="18">
        <v>501.5</v>
      </c>
      <c r="I49" s="18">
        <v>300000</v>
      </c>
      <c r="J49" s="18">
        <v>306000</v>
      </c>
      <c r="K49" s="32">
        <f t="shared" si="0"/>
        <v>6720000</v>
      </c>
      <c r="L49" s="18">
        <f t="shared" si="1"/>
        <v>6822900</v>
      </c>
      <c r="M49" s="18">
        <f t="shared" si="2"/>
        <v>120000</v>
      </c>
      <c r="N49" s="18">
        <f t="shared" si="3"/>
        <v>-17100</v>
      </c>
      <c r="O49" s="18">
        <f t="shared" si="4"/>
        <v>102900</v>
      </c>
      <c r="P49" s="18">
        <f t="shared" si="5"/>
        <v>4200000</v>
      </c>
      <c r="Q49" s="18">
        <f t="shared" si="6"/>
        <v>4287825</v>
      </c>
      <c r="R49" s="18">
        <f t="shared" si="7"/>
        <v>87825</v>
      </c>
    </row>
    <row r="50" spans="1:18" ht="15.6" x14ac:dyDescent="0.3">
      <c r="A50" s="37">
        <v>45717</v>
      </c>
      <c r="B50" s="16" t="s">
        <v>11</v>
      </c>
      <c r="C50" s="16">
        <v>15000</v>
      </c>
      <c r="D50" s="16">
        <v>15500</v>
      </c>
      <c r="E50" s="18">
        <v>250</v>
      </c>
      <c r="F50" s="18">
        <v>247</v>
      </c>
      <c r="G50" s="18">
        <v>120</v>
      </c>
      <c r="H50" s="18">
        <v>123</v>
      </c>
      <c r="I50" s="18">
        <v>200000</v>
      </c>
      <c r="J50" s="18">
        <v>205500</v>
      </c>
      <c r="K50" s="32">
        <f t="shared" si="0"/>
        <v>3750000</v>
      </c>
      <c r="L50" s="18">
        <f t="shared" si="1"/>
        <v>3828500</v>
      </c>
      <c r="M50" s="18">
        <f t="shared" si="2"/>
        <v>125000</v>
      </c>
      <c r="N50" s="18">
        <f t="shared" si="3"/>
        <v>-46500</v>
      </c>
      <c r="O50" s="18">
        <f t="shared" si="4"/>
        <v>78500</v>
      </c>
      <c r="P50" s="18">
        <f t="shared" si="5"/>
        <v>1800000</v>
      </c>
      <c r="Q50" s="18">
        <f t="shared" si="6"/>
        <v>1906500</v>
      </c>
      <c r="R50" s="18">
        <f t="shared" si="7"/>
        <v>106500</v>
      </c>
    </row>
    <row r="51" spans="1:18" ht="15.6" x14ac:dyDescent="0.3">
      <c r="A51" s="37">
        <v>45717</v>
      </c>
      <c r="B51" s="16" t="s">
        <v>12</v>
      </c>
      <c r="C51" s="16">
        <v>25000</v>
      </c>
      <c r="D51" s="16">
        <v>25800</v>
      </c>
      <c r="E51" s="18">
        <v>150</v>
      </c>
      <c r="F51" s="18">
        <v>147.5</v>
      </c>
      <c r="G51" s="18">
        <v>70</v>
      </c>
      <c r="H51" s="18">
        <v>72.5</v>
      </c>
      <c r="I51" s="18">
        <v>150000</v>
      </c>
      <c r="J51" s="18">
        <v>154500</v>
      </c>
      <c r="K51" s="32">
        <f t="shared" si="0"/>
        <v>3750000</v>
      </c>
      <c r="L51" s="18">
        <f t="shared" si="1"/>
        <v>3805500</v>
      </c>
      <c r="M51" s="18">
        <f t="shared" si="2"/>
        <v>120000</v>
      </c>
      <c r="N51" s="18">
        <f t="shared" si="3"/>
        <v>-64500</v>
      </c>
      <c r="O51" s="18">
        <f t="shared" si="4"/>
        <v>55500</v>
      </c>
      <c r="P51" s="18">
        <f t="shared" si="5"/>
        <v>1750000</v>
      </c>
      <c r="Q51" s="18">
        <f t="shared" si="6"/>
        <v>1870500</v>
      </c>
      <c r="R51" s="18">
        <f t="shared" si="7"/>
        <v>120500</v>
      </c>
    </row>
    <row r="52" spans="1:18" ht="15.6" x14ac:dyDescent="0.3">
      <c r="A52" s="37">
        <v>45717</v>
      </c>
      <c r="B52" s="16" t="s">
        <v>13</v>
      </c>
      <c r="C52" s="16">
        <v>10000</v>
      </c>
      <c r="D52" s="16">
        <v>10500</v>
      </c>
      <c r="E52" s="18">
        <v>300</v>
      </c>
      <c r="F52" s="18">
        <v>294</v>
      </c>
      <c r="G52" s="18">
        <v>140</v>
      </c>
      <c r="H52" s="18">
        <v>145</v>
      </c>
      <c r="I52" s="18">
        <v>180000</v>
      </c>
      <c r="J52" s="18">
        <v>186500</v>
      </c>
      <c r="K52" s="32">
        <f t="shared" si="0"/>
        <v>3000000</v>
      </c>
      <c r="L52" s="18">
        <f t="shared" si="1"/>
        <v>3087000</v>
      </c>
      <c r="M52" s="18">
        <f t="shared" si="2"/>
        <v>150000</v>
      </c>
      <c r="N52" s="18">
        <f t="shared" si="3"/>
        <v>-63000</v>
      </c>
      <c r="O52" s="18">
        <f t="shared" si="4"/>
        <v>87000</v>
      </c>
      <c r="P52" s="18">
        <f t="shared" si="5"/>
        <v>1400000</v>
      </c>
      <c r="Q52" s="18">
        <f t="shared" si="6"/>
        <v>1522500</v>
      </c>
      <c r="R52" s="18">
        <f t="shared" si="7"/>
        <v>122500</v>
      </c>
    </row>
    <row r="53" spans="1:18" ht="15.6" x14ac:dyDescent="0.3">
      <c r="A53" s="37">
        <v>45717</v>
      </c>
      <c r="B53" s="16" t="s">
        <v>14</v>
      </c>
      <c r="C53" s="16">
        <v>8000</v>
      </c>
      <c r="D53" s="16">
        <v>8300</v>
      </c>
      <c r="E53" s="18">
        <v>800</v>
      </c>
      <c r="F53" s="18">
        <v>785</v>
      </c>
      <c r="G53" s="18">
        <v>500</v>
      </c>
      <c r="H53" s="18">
        <v>508</v>
      </c>
      <c r="I53" s="18">
        <v>300000</v>
      </c>
      <c r="J53" s="18">
        <v>310000</v>
      </c>
      <c r="K53" s="32">
        <f t="shared" si="0"/>
        <v>6400000</v>
      </c>
      <c r="L53" s="18">
        <f t="shared" si="1"/>
        <v>6515500</v>
      </c>
      <c r="M53" s="18">
        <f t="shared" si="2"/>
        <v>240000</v>
      </c>
      <c r="N53" s="18">
        <f t="shared" si="3"/>
        <v>-124500</v>
      </c>
      <c r="O53" s="18">
        <f t="shared" si="4"/>
        <v>115500</v>
      </c>
      <c r="P53" s="18">
        <f t="shared" si="5"/>
        <v>4000000</v>
      </c>
      <c r="Q53" s="18">
        <f t="shared" si="6"/>
        <v>4216400</v>
      </c>
      <c r="R53" s="18">
        <f t="shared" si="7"/>
        <v>216400</v>
      </c>
    </row>
  </sheetData>
  <mergeCells count="3">
    <mergeCell ref="A2:N2"/>
    <mergeCell ref="A1:N1"/>
    <mergeCell ref="A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3E62-CEBD-427D-810C-5AF25F85D2B4}">
  <dimension ref="A1:J49"/>
  <sheetViews>
    <sheetView workbookViewId="0">
      <selection activeCell="L7" sqref="L7"/>
    </sheetView>
  </sheetViews>
  <sheetFormatPr defaultRowHeight="14.4" x14ac:dyDescent="0.3"/>
  <cols>
    <col min="1" max="1" width="18.33203125" bestFit="1" customWidth="1"/>
    <col min="2" max="2" width="18.109375" bestFit="1" customWidth="1"/>
    <col min="3" max="10" width="15.77734375" customWidth="1"/>
  </cols>
  <sheetData>
    <row r="1" spans="1:10" ht="35.4" customHeight="1" x14ac:dyDescent="0.3">
      <c r="A1" s="35" t="s">
        <v>1</v>
      </c>
      <c r="B1" s="35" t="s">
        <v>2</v>
      </c>
      <c r="C1" s="35" t="s">
        <v>3</v>
      </c>
      <c r="D1" s="35" t="s">
        <v>4</v>
      </c>
      <c r="E1" s="35" t="s">
        <v>5</v>
      </c>
      <c r="F1" s="35" t="s">
        <v>6</v>
      </c>
      <c r="G1" s="35" t="s">
        <v>7</v>
      </c>
      <c r="H1" s="35" t="s">
        <v>8</v>
      </c>
      <c r="I1" s="35" t="s">
        <v>9</v>
      </c>
      <c r="J1" s="35" t="s">
        <v>10</v>
      </c>
    </row>
    <row r="2" spans="1:10" ht="15.6" x14ac:dyDescent="0.3">
      <c r="A2" s="33">
        <v>45383</v>
      </c>
      <c r="B2" s="23" t="s">
        <v>11</v>
      </c>
      <c r="C2" s="23">
        <v>15000</v>
      </c>
      <c r="D2" s="23">
        <v>15420</v>
      </c>
      <c r="E2" s="34">
        <v>250</v>
      </c>
      <c r="F2" s="34">
        <v>248.5</v>
      </c>
      <c r="G2" s="34">
        <v>120</v>
      </c>
      <c r="H2" s="34">
        <v>121.2</v>
      </c>
      <c r="I2" s="34">
        <v>200000</v>
      </c>
      <c r="J2" s="34">
        <v>201500</v>
      </c>
    </row>
    <row r="3" spans="1:10" ht="15.6" x14ac:dyDescent="0.3">
      <c r="A3" s="33">
        <v>45383</v>
      </c>
      <c r="B3" s="23" t="s">
        <v>12</v>
      </c>
      <c r="C3" s="23">
        <v>25000</v>
      </c>
      <c r="D3" s="23">
        <v>24100</v>
      </c>
      <c r="E3" s="34">
        <v>150</v>
      </c>
      <c r="F3" s="34">
        <v>152</v>
      </c>
      <c r="G3" s="34">
        <v>70</v>
      </c>
      <c r="H3" s="34">
        <v>68.5</v>
      </c>
      <c r="I3" s="34">
        <v>150000</v>
      </c>
      <c r="J3" s="34">
        <v>149000</v>
      </c>
    </row>
    <row r="4" spans="1:10" ht="15.6" x14ac:dyDescent="0.3">
      <c r="A4" s="33">
        <v>45383</v>
      </c>
      <c r="B4" s="23" t="s">
        <v>13</v>
      </c>
      <c r="C4" s="23">
        <v>10000</v>
      </c>
      <c r="D4" s="23">
        <v>9850</v>
      </c>
      <c r="E4" s="34">
        <v>300</v>
      </c>
      <c r="F4" s="34">
        <v>295</v>
      </c>
      <c r="G4" s="34">
        <v>140</v>
      </c>
      <c r="H4" s="34">
        <v>142.30000000000001</v>
      </c>
      <c r="I4" s="34">
        <v>180000</v>
      </c>
      <c r="J4" s="34">
        <v>183200</v>
      </c>
    </row>
    <row r="5" spans="1:10" ht="15.6" x14ac:dyDescent="0.3">
      <c r="A5" s="33">
        <v>45383</v>
      </c>
      <c r="B5" s="23" t="s">
        <v>14</v>
      </c>
      <c r="C5" s="23">
        <v>8000</v>
      </c>
      <c r="D5" s="23">
        <v>8120</v>
      </c>
      <c r="E5" s="34">
        <v>800</v>
      </c>
      <c r="F5" s="34">
        <v>805</v>
      </c>
      <c r="G5" s="34">
        <v>500</v>
      </c>
      <c r="H5" s="34">
        <v>505</v>
      </c>
      <c r="I5" s="34">
        <v>300000</v>
      </c>
      <c r="J5" s="34">
        <v>298500</v>
      </c>
    </row>
    <row r="6" spans="1:10" ht="15.6" x14ac:dyDescent="0.3">
      <c r="A6" s="33">
        <v>45413</v>
      </c>
      <c r="B6" s="23" t="s">
        <v>11</v>
      </c>
      <c r="C6" s="23">
        <v>15500</v>
      </c>
      <c r="D6" s="23">
        <v>15800</v>
      </c>
      <c r="E6" s="34">
        <v>250</v>
      </c>
      <c r="F6" s="34">
        <v>250</v>
      </c>
      <c r="G6" s="34">
        <v>120</v>
      </c>
      <c r="H6" s="34">
        <v>119.5</v>
      </c>
      <c r="I6" s="34">
        <v>200000</v>
      </c>
      <c r="J6" s="34">
        <v>202100</v>
      </c>
    </row>
    <row r="7" spans="1:10" ht="15.6" x14ac:dyDescent="0.3">
      <c r="A7" s="33">
        <v>45413</v>
      </c>
      <c r="B7" s="23" t="s">
        <v>12</v>
      </c>
      <c r="C7" s="23">
        <v>24500</v>
      </c>
      <c r="D7" s="23">
        <v>24650</v>
      </c>
      <c r="E7" s="34">
        <v>150</v>
      </c>
      <c r="F7" s="34">
        <v>148.5</v>
      </c>
      <c r="G7" s="34">
        <v>70</v>
      </c>
      <c r="H7" s="34">
        <v>71.099999999999994</v>
      </c>
      <c r="I7" s="34">
        <v>150000</v>
      </c>
      <c r="J7" s="34">
        <v>152000</v>
      </c>
    </row>
    <row r="8" spans="1:10" ht="15.6" x14ac:dyDescent="0.3">
      <c r="A8" s="33">
        <v>45413</v>
      </c>
      <c r="B8" s="23" t="s">
        <v>13</v>
      </c>
      <c r="C8" s="23">
        <v>9800</v>
      </c>
      <c r="D8" s="23">
        <v>9900</v>
      </c>
      <c r="E8" s="34">
        <v>300</v>
      </c>
      <c r="F8" s="34">
        <v>300</v>
      </c>
      <c r="G8" s="34">
        <v>140</v>
      </c>
      <c r="H8" s="34">
        <v>139.80000000000001</v>
      </c>
      <c r="I8" s="34">
        <v>180000</v>
      </c>
      <c r="J8" s="34">
        <v>179500</v>
      </c>
    </row>
    <row r="9" spans="1:10" ht="15.6" x14ac:dyDescent="0.3">
      <c r="A9" s="33">
        <v>45413</v>
      </c>
      <c r="B9" s="23" t="s">
        <v>14</v>
      </c>
      <c r="C9" s="23">
        <v>8100</v>
      </c>
      <c r="D9" s="23">
        <v>7950</v>
      </c>
      <c r="E9" s="34">
        <v>800</v>
      </c>
      <c r="F9" s="34">
        <v>790</v>
      </c>
      <c r="G9" s="34">
        <v>500</v>
      </c>
      <c r="H9" s="34">
        <v>495.5</v>
      </c>
      <c r="I9" s="34">
        <v>300000</v>
      </c>
      <c r="J9" s="34">
        <v>305000</v>
      </c>
    </row>
    <row r="10" spans="1:10" ht="15.6" x14ac:dyDescent="0.3">
      <c r="A10" s="33">
        <v>45444</v>
      </c>
      <c r="B10" s="23" t="s">
        <v>11</v>
      </c>
      <c r="C10" s="23">
        <v>16000</v>
      </c>
      <c r="D10" s="23">
        <v>15950</v>
      </c>
      <c r="E10" s="34">
        <v>250</v>
      </c>
      <c r="F10" s="34">
        <v>252</v>
      </c>
      <c r="G10" s="34">
        <v>120</v>
      </c>
      <c r="H10" s="34">
        <v>122</v>
      </c>
      <c r="I10" s="34">
        <v>200000</v>
      </c>
      <c r="J10" s="34">
        <v>199000</v>
      </c>
    </row>
    <row r="11" spans="1:10" ht="15.6" x14ac:dyDescent="0.3">
      <c r="A11" s="33">
        <v>45444</v>
      </c>
      <c r="B11" s="23" t="s">
        <v>12</v>
      </c>
      <c r="C11" s="23">
        <v>24000</v>
      </c>
      <c r="D11" s="23">
        <v>23800</v>
      </c>
      <c r="E11" s="34">
        <v>150</v>
      </c>
      <c r="F11" s="34">
        <v>151.5</v>
      </c>
      <c r="G11" s="34">
        <v>70</v>
      </c>
      <c r="H11" s="34">
        <v>69.900000000000006</v>
      </c>
      <c r="I11" s="34">
        <v>150000</v>
      </c>
      <c r="J11" s="34">
        <v>150500</v>
      </c>
    </row>
    <row r="12" spans="1:10" ht="15.6" x14ac:dyDescent="0.3">
      <c r="A12" s="33">
        <v>45444</v>
      </c>
      <c r="B12" s="23" t="s">
        <v>13</v>
      </c>
      <c r="C12" s="23">
        <v>9500</v>
      </c>
      <c r="D12" s="23">
        <v>9200</v>
      </c>
      <c r="E12" s="34">
        <v>300</v>
      </c>
      <c r="F12" s="34">
        <v>305</v>
      </c>
      <c r="G12" s="34">
        <v>140</v>
      </c>
      <c r="H12" s="34">
        <v>143</v>
      </c>
      <c r="I12" s="34">
        <v>180000</v>
      </c>
      <c r="J12" s="34">
        <v>181000</v>
      </c>
    </row>
    <row r="13" spans="1:10" ht="15.6" x14ac:dyDescent="0.3">
      <c r="A13" s="33">
        <v>45444</v>
      </c>
      <c r="B13" s="23" t="s">
        <v>14</v>
      </c>
      <c r="C13" s="23">
        <v>8200</v>
      </c>
      <c r="D13" s="23">
        <v>8350</v>
      </c>
      <c r="E13" s="34">
        <v>800</v>
      </c>
      <c r="F13" s="34">
        <v>798.5</v>
      </c>
      <c r="G13" s="34">
        <v>500</v>
      </c>
      <c r="H13" s="34">
        <v>502.2</v>
      </c>
      <c r="I13" s="34">
        <v>300000</v>
      </c>
      <c r="J13" s="34">
        <v>299000</v>
      </c>
    </row>
    <row r="14" spans="1:10" ht="15.6" x14ac:dyDescent="0.3">
      <c r="A14" s="33">
        <v>45474</v>
      </c>
      <c r="B14" s="23" t="s">
        <v>11</v>
      </c>
      <c r="C14" s="23">
        <v>15000</v>
      </c>
      <c r="D14" s="23">
        <v>14800</v>
      </c>
      <c r="E14" s="34">
        <v>250</v>
      </c>
      <c r="F14" s="34">
        <v>249</v>
      </c>
      <c r="G14" s="34">
        <v>120</v>
      </c>
      <c r="H14" s="34">
        <v>121.5</v>
      </c>
      <c r="I14" s="34">
        <v>200000</v>
      </c>
      <c r="J14" s="34">
        <v>204000</v>
      </c>
    </row>
    <row r="15" spans="1:10" ht="15.6" x14ac:dyDescent="0.3">
      <c r="A15" s="33">
        <v>45474</v>
      </c>
      <c r="B15" s="23" t="s">
        <v>12</v>
      </c>
      <c r="C15" s="23">
        <v>25000</v>
      </c>
      <c r="D15" s="23">
        <v>25300</v>
      </c>
      <c r="E15" s="34">
        <v>150</v>
      </c>
      <c r="F15" s="34">
        <v>150</v>
      </c>
      <c r="G15" s="34">
        <v>70</v>
      </c>
      <c r="H15" s="34">
        <v>70.5</v>
      </c>
      <c r="I15" s="34">
        <v>150000</v>
      </c>
      <c r="J15" s="34">
        <v>148500</v>
      </c>
    </row>
    <row r="16" spans="1:10" ht="15.6" x14ac:dyDescent="0.3">
      <c r="A16" s="33">
        <v>45474</v>
      </c>
      <c r="B16" s="23" t="s">
        <v>13</v>
      </c>
      <c r="C16" s="23">
        <v>10000</v>
      </c>
      <c r="D16" s="23">
        <v>10400</v>
      </c>
      <c r="E16" s="34">
        <v>300</v>
      </c>
      <c r="F16" s="34">
        <v>298</v>
      </c>
      <c r="G16" s="34">
        <v>140</v>
      </c>
      <c r="H16" s="34">
        <v>138.5</v>
      </c>
      <c r="I16" s="34">
        <v>180000</v>
      </c>
      <c r="J16" s="34">
        <v>178000</v>
      </c>
    </row>
    <row r="17" spans="1:10" ht="15.6" x14ac:dyDescent="0.3">
      <c r="A17" s="33">
        <v>45474</v>
      </c>
      <c r="B17" s="23" t="s">
        <v>14</v>
      </c>
      <c r="C17" s="23">
        <v>8000</v>
      </c>
      <c r="D17" s="23">
        <v>7800</v>
      </c>
      <c r="E17" s="34">
        <v>800</v>
      </c>
      <c r="F17" s="34">
        <v>802</v>
      </c>
      <c r="G17" s="34">
        <v>500</v>
      </c>
      <c r="H17" s="34">
        <v>498</v>
      </c>
      <c r="I17" s="34">
        <v>300000</v>
      </c>
      <c r="J17" s="34">
        <v>301500</v>
      </c>
    </row>
    <row r="18" spans="1:10" ht="15.6" x14ac:dyDescent="0.3">
      <c r="A18" s="33">
        <v>45505</v>
      </c>
      <c r="B18" s="23" t="s">
        <v>11</v>
      </c>
      <c r="C18" s="23">
        <v>14500</v>
      </c>
      <c r="D18" s="23">
        <v>14650</v>
      </c>
      <c r="E18" s="34">
        <v>250</v>
      </c>
      <c r="F18" s="34">
        <v>250</v>
      </c>
      <c r="G18" s="34">
        <v>120</v>
      </c>
      <c r="H18" s="34">
        <v>119</v>
      </c>
      <c r="I18" s="34">
        <v>200000</v>
      </c>
      <c r="J18" s="34">
        <v>200500</v>
      </c>
    </row>
    <row r="19" spans="1:10" ht="15.6" x14ac:dyDescent="0.3">
      <c r="A19" s="33">
        <v>45505</v>
      </c>
      <c r="B19" s="23" t="s">
        <v>12</v>
      </c>
      <c r="C19" s="23">
        <v>25500</v>
      </c>
      <c r="D19" s="23">
        <v>25800</v>
      </c>
      <c r="E19" s="34">
        <v>150</v>
      </c>
      <c r="F19" s="34">
        <v>149.5</v>
      </c>
      <c r="G19" s="34">
        <v>70</v>
      </c>
      <c r="H19" s="34">
        <v>72</v>
      </c>
      <c r="I19" s="34">
        <v>150000</v>
      </c>
      <c r="J19" s="34">
        <v>151500</v>
      </c>
    </row>
    <row r="20" spans="1:10" ht="15.6" x14ac:dyDescent="0.3">
      <c r="A20" s="33">
        <v>45505</v>
      </c>
      <c r="B20" s="23" t="s">
        <v>13</v>
      </c>
      <c r="C20" s="23">
        <v>10500</v>
      </c>
      <c r="D20" s="23">
        <v>10200</v>
      </c>
      <c r="E20" s="34">
        <v>300</v>
      </c>
      <c r="F20" s="34">
        <v>302.5</v>
      </c>
      <c r="G20" s="34">
        <v>140</v>
      </c>
      <c r="H20" s="34">
        <v>141</v>
      </c>
      <c r="I20" s="34">
        <v>180000</v>
      </c>
      <c r="J20" s="34">
        <v>182500</v>
      </c>
    </row>
    <row r="21" spans="1:10" ht="15.6" x14ac:dyDescent="0.3">
      <c r="A21" s="33">
        <v>45505</v>
      </c>
      <c r="B21" s="23" t="s">
        <v>14</v>
      </c>
      <c r="C21" s="23">
        <v>7800</v>
      </c>
      <c r="D21" s="23">
        <v>7950</v>
      </c>
      <c r="E21" s="34">
        <v>800</v>
      </c>
      <c r="F21" s="34">
        <v>795</v>
      </c>
      <c r="G21" s="34">
        <v>500</v>
      </c>
      <c r="H21" s="34">
        <v>504.5</v>
      </c>
      <c r="I21" s="34">
        <v>300000</v>
      </c>
      <c r="J21" s="34">
        <v>297000</v>
      </c>
    </row>
    <row r="22" spans="1:10" ht="15.6" x14ac:dyDescent="0.3">
      <c r="A22" s="33">
        <v>45536</v>
      </c>
      <c r="B22" s="23" t="s">
        <v>11</v>
      </c>
      <c r="C22" s="23">
        <v>14000</v>
      </c>
      <c r="D22" s="23">
        <v>13800</v>
      </c>
      <c r="E22" s="34">
        <v>250</v>
      </c>
      <c r="F22" s="34">
        <v>251.5</v>
      </c>
      <c r="G22" s="34">
        <v>120</v>
      </c>
      <c r="H22" s="34">
        <v>120.5</v>
      </c>
      <c r="I22" s="34">
        <v>200000</v>
      </c>
      <c r="J22" s="34">
        <v>198500</v>
      </c>
    </row>
    <row r="23" spans="1:10" ht="15.6" x14ac:dyDescent="0.3">
      <c r="A23" s="33">
        <v>45536</v>
      </c>
      <c r="B23" s="23" t="s">
        <v>12</v>
      </c>
      <c r="C23" s="23">
        <v>26000</v>
      </c>
      <c r="D23" s="23">
        <v>25900</v>
      </c>
      <c r="E23" s="34">
        <v>150</v>
      </c>
      <c r="F23" s="34">
        <v>150.5</v>
      </c>
      <c r="G23" s="34">
        <v>70</v>
      </c>
      <c r="H23" s="34">
        <v>69</v>
      </c>
      <c r="I23" s="34">
        <v>150000</v>
      </c>
      <c r="J23" s="34">
        <v>149500</v>
      </c>
    </row>
    <row r="24" spans="1:10" ht="15.6" x14ac:dyDescent="0.3">
      <c r="A24" s="33">
        <v>45536</v>
      </c>
      <c r="B24" s="23" t="s">
        <v>13</v>
      </c>
      <c r="C24" s="23">
        <v>11000</v>
      </c>
      <c r="D24" s="23">
        <v>11350</v>
      </c>
      <c r="E24" s="34">
        <v>300</v>
      </c>
      <c r="F24" s="34">
        <v>299</v>
      </c>
      <c r="G24" s="34">
        <v>140</v>
      </c>
      <c r="H24" s="34">
        <v>139.19999999999999</v>
      </c>
      <c r="I24" s="34">
        <v>180000</v>
      </c>
      <c r="J24" s="34">
        <v>179000</v>
      </c>
    </row>
    <row r="25" spans="1:10" ht="15.6" x14ac:dyDescent="0.3">
      <c r="A25" s="33">
        <v>45536</v>
      </c>
      <c r="B25" s="23" t="s">
        <v>14</v>
      </c>
      <c r="C25" s="23">
        <v>7900</v>
      </c>
      <c r="D25" s="23">
        <v>8050</v>
      </c>
      <c r="E25" s="34">
        <v>800</v>
      </c>
      <c r="F25" s="34">
        <v>801.5</v>
      </c>
      <c r="G25" s="34">
        <v>500</v>
      </c>
      <c r="H25" s="34">
        <v>499.5</v>
      </c>
      <c r="I25" s="34">
        <v>300000</v>
      </c>
      <c r="J25" s="34">
        <v>303000</v>
      </c>
    </row>
    <row r="26" spans="1:10" ht="15.6" x14ac:dyDescent="0.3">
      <c r="A26" s="33">
        <v>45566</v>
      </c>
      <c r="B26" s="23" t="s">
        <v>11</v>
      </c>
      <c r="C26" s="23">
        <v>13500</v>
      </c>
      <c r="D26" s="23">
        <v>13700</v>
      </c>
      <c r="E26" s="34">
        <v>250</v>
      </c>
      <c r="F26" s="34">
        <v>248</v>
      </c>
      <c r="G26" s="34">
        <v>120</v>
      </c>
      <c r="H26" s="34">
        <v>122.5</v>
      </c>
      <c r="I26" s="34">
        <v>200000</v>
      </c>
      <c r="J26" s="34">
        <v>202500</v>
      </c>
    </row>
    <row r="27" spans="1:10" ht="15.6" x14ac:dyDescent="0.3">
      <c r="A27" s="33">
        <v>45566</v>
      </c>
      <c r="B27" s="23" t="s">
        <v>12</v>
      </c>
      <c r="C27" s="23">
        <v>27000</v>
      </c>
      <c r="D27" s="23">
        <v>27500</v>
      </c>
      <c r="E27" s="34">
        <v>150</v>
      </c>
      <c r="F27" s="34">
        <v>148</v>
      </c>
      <c r="G27" s="34">
        <v>70</v>
      </c>
      <c r="H27" s="34">
        <v>71.5</v>
      </c>
      <c r="I27" s="34">
        <v>150000</v>
      </c>
      <c r="J27" s="34">
        <v>153000</v>
      </c>
    </row>
    <row r="28" spans="1:10" ht="15.6" x14ac:dyDescent="0.3">
      <c r="A28" s="33">
        <v>45566</v>
      </c>
      <c r="B28" s="23" t="s">
        <v>13</v>
      </c>
      <c r="C28" s="23">
        <v>12000</v>
      </c>
      <c r="D28" s="23">
        <v>12450</v>
      </c>
      <c r="E28" s="34">
        <v>300</v>
      </c>
      <c r="F28" s="34">
        <v>295.5</v>
      </c>
      <c r="G28" s="34">
        <v>140</v>
      </c>
      <c r="H28" s="34">
        <v>144</v>
      </c>
      <c r="I28" s="34">
        <v>180000</v>
      </c>
      <c r="J28" s="34">
        <v>185000</v>
      </c>
    </row>
    <row r="29" spans="1:10" ht="15.6" x14ac:dyDescent="0.3">
      <c r="A29" s="33">
        <v>45566</v>
      </c>
      <c r="B29" s="23" t="s">
        <v>14</v>
      </c>
      <c r="C29" s="23">
        <v>8500</v>
      </c>
      <c r="D29" s="23">
        <v>8800</v>
      </c>
      <c r="E29" s="34">
        <v>800</v>
      </c>
      <c r="F29" s="34">
        <v>790</v>
      </c>
      <c r="G29" s="34">
        <v>500</v>
      </c>
      <c r="H29" s="34">
        <v>510</v>
      </c>
      <c r="I29" s="34">
        <v>300000</v>
      </c>
      <c r="J29" s="34">
        <v>308000</v>
      </c>
    </row>
    <row r="30" spans="1:10" ht="15.6" x14ac:dyDescent="0.3">
      <c r="A30" s="33">
        <v>45597</v>
      </c>
      <c r="B30" s="23" t="s">
        <v>11</v>
      </c>
      <c r="C30" s="23">
        <v>13000</v>
      </c>
      <c r="D30" s="23">
        <v>12850</v>
      </c>
      <c r="E30" s="34">
        <v>250</v>
      </c>
      <c r="F30" s="34">
        <v>252.5</v>
      </c>
      <c r="G30" s="34">
        <v>120</v>
      </c>
      <c r="H30" s="34">
        <v>118.5</v>
      </c>
      <c r="I30" s="34">
        <v>200000</v>
      </c>
      <c r="J30" s="34">
        <v>199500</v>
      </c>
    </row>
    <row r="31" spans="1:10" ht="15.6" x14ac:dyDescent="0.3">
      <c r="A31" s="33">
        <v>45597</v>
      </c>
      <c r="B31" s="23" t="s">
        <v>12</v>
      </c>
      <c r="C31" s="23">
        <v>28000</v>
      </c>
      <c r="D31" s="23">
        <v>27950</v>
      </c>
      <c r="E31" s="34">
        <v>150</v>
      </c>
      <c r="F31" s="34">
        <v>151</v>
      </c>
      <c r="G31" s="34">
        <v>70</v>
      </c>
      <c r="H31" s="34">
        <v>68.8</v>
      </c>
      <c r="I31" s="34">
        <v>150000</v>
      </c>
      <c r="J31" s="34">
        <v>148000</v>
      </c>
    </row>
    <row r="32" spans="1:10" ht="15.6" x14ac:dyDescent="0.3">
      <c r="A32" s="33">
        <v>45597</v>
      </c>
      <c r="B32" s="23" t="s">
        <v>13</v>
      </c>
      <c r="C32" s="23">
        <v>12500</v>
      </c>
      <c r="D32" s="23">
        <v>12200</v>
      </c>
      <c r="E32" s="34">
        <v>300</v>
      </c>
      <c r="F32" s="34">
        <v>304</v>
      </c>
      <c r="G32" s="34">
        <v>140</v>
      </c>
      <c r="H32" s="34">
        <v>138</v>
      </c>
      <c r="I32" s="34">
        <v>180000</v>
      </c>
      <c r="J32" s="34">
        <v>177500</v>
      </c>
    </row>
    <row r="33" spans="1:10" ht="15.6" x14ac:dyDescent="0.3">
      <c r="A33" s="33">
        <v>45597</v>
      </c>
      <c r="B33" s="23" t="s">
        <v>14</v>
      </c>
      <c r="C33" s="23">
        <v>8600</v>
      </c>
      <c r="D33" s="23">
        <v>8450</v>
      </c>
      <c r="E33" s="34">
        <v>800</v>
      </c>
      <c r="F33" s="34">
        <v>805</v>
      </c>
      <c r="G33" s="34">
        <v>500</v>
      </c>
      <c r="H33" s="34">
        <v>497.5</v>
      </c>
      <c r="I33" s="34">
        <v>300000</v>
      </c>
      <c r="J33" s="34">
        <v>299500</v>
      </c>
    </row>
    <row r="34" spans="1:10" ht="15.6" x14ac:dyDescent="0.3">
      <c r="A34" s="33">
        <v>45627</v>
      </c>
      <c r="B34" s="23" t="s">
        <v>11</v>
      </c>
      <c r="C34" s="23">
        <v>12500</v>
      </c>
      <c r="D34" s="23">
        <v>12600</v>
      </c>
      <c r="E34" s="34">
        <v>250</v>
      </c>
      <c r="F34" s="34">
        <v>250</v>
      </c>
      <c r="G34" s="34">
        <v>120</v>
      </c>
      <c r="H34" s="34">
        <v>121</v>
      </c>
      <c r="I34" s="34">
        <v>200000</v>
      </c>
      <c r="J34" s="34">
        <v>201000</v>
      </c>
    </row>
    <row r="35" spans="1:10" ht="15.6" x14ac:dyDescent="0.3">
      <c r="A35" s="33">
        <v>45627</v>
      </c>
      <c r="B35" s="23" t="s">
        <v>12</v>
      </c>
      <c r="C35" s="23">
        <v>29000</v>
      </c>
      <c r="D35" s="23">
        <v>29500</v>
      </c>
      <c r="E35" s="34">
        <v>150</v>
      </c>
      <c r="F35" s="34">
        <v>149</v>
      </c>
      <c r="G35" s="34">
        <v>70</v>
      </c>
      <c r="H35" s="34">
        <v>70.5</v>
      </c>
      <c r="I35" s="34">
        <v>150000</v>
      </c>
      <c r="J35" s="34">
        <v>151000</v>
      </c>
    </row>
    <row r="36" spans="1:10" ht="15.6" x14ac:dyDescent="0.3">
      <c r="A36" s="33">
        <v>45627</v>
      </c>
      <c r="B36" s="23" t="s">
        <v>13</v>
      </c>
      <c r="C36" s="23">
        <v>13000</v>
      </c>
      <c r="D36" s="23">
        <v>13300</v>
      </c>
      <c r="E36" s="34">
        <v>300</v>
      </c>
      <c r="F36" s="34">
        <v>298.5</v>
      </c>
      <c r="G36" s="34">
        <v>140</v>
      </c>
      <c r="H36" s="34">
        <v>142.5</v>
      </c>
      <c r="I36" s="34">
        <v>180000</v>
      </c>
      <c r="J36" s="34">
        <v>182000</v>
      </c>
    </row>
    <row r="37" spans="1:10" ht="15.6" x14ac:dyDescent="0.3">
      <c r="A37" s="33">
        <v>45627</v>
      </c>
      <c r="B37" s="23" t="s">
        <v>14</v>
      </c>
      <c r="C37" s="23">
        <v>8800</v>
      </c>
      <c r="D37" s="23">
        <v>8950</v>
      </c>
      <c r="E37" s="34">
        <v>800</v>
      </c>
      <c r="F37" s="34">
        <v>795.5</v>
      </c>
      <c r="G37" s="34">
        <v>500</v>
      </c>
      <c r="H37" s="34">
        <v>503</v>
      </c>
      <c r="I37" s="34">
        <v>300000</v>
      </c>
      <c r="J37" s="34">
        <v>304500</v>
      </c>
    </row>
    <row r="38" spans="1:10" ht="15.6" x14ac:dyDescent="0.3">
      <c r="A38" s="33">
        <v>45658</v>
      </c>
      <c r="B38" s="23" t="s">
        <v>11</v>
      </c>
      <c r="C38" s="23">
        <v>13000</v>
      </c>
      <c r="D38" s="23">
        <v>12900</v>
      </c>
      <c r="E38" s="34">
        <v>250</v>
      </c>
      <c r="F38" s="34">
        <v>249.5</v>
      </c>
      <c r="G38" s="34">
        <v>120</v>
      </c>
      <c r="H38" s="34">
        <v>120</v>
      </c>
      <c r="I38" s="34">
        <v>200000</v>
      </c>
      <c r="J38" s="34">
        <v>198000</v>
      </c>
    </row>
    <row r="39" spans="1:10" ht="15.6" x14ac:dyDescent="0.3">
      <c r="A39" s="33">
        <v>45658</v>
      </c>
      <c r="B39" s="23" t="s">
        <v>12</v>
      </c>
      <c r="C39" s="23">
        <v>28500</v>
      </c>
      <c r="D39" s="23">
        <v>28100</v>
      </c>
      <c r="E39" s="34">
        <v>150</v>
      </c>
      <c r="F39" s="34">
        <v>152</v>
      </c>
      <c r="G39" s="34">
        <v>70</v>
      </c>
      <c r="H39" s="34">
        <v>69.5</v>
      </c>
      <c r="I39" s="34">
        <v>150000</v>
      </c>
      <c r="J39" s="34">
        <v>149000</v>
      </c>
    </row>
    <row r="40" spans="1:10" ht="15.6" x14ac:dyDescent="0.3">
      <c r="A40" s="33">
        <v>45658</v>
      </c>
      <c r="B40" s="23" t="s">
        <v>13</v>
      </c>
      <c r="C40" s="23">
        <v>12800</v>
      </c>
      <c r="D40" s="23">
        <v>12650</v>
      </c>
      <c r="E40" s="34">
        <v>300</v>
      </c>
      <c r="F40" s="34">
        <v>301</v>
      </c>
      <c r="G40" s="34">
        <v>140</v>
      </c>
      <c r="H40" s="34">
        <v>139</v>
      </c>
      <c r="I40" s="34">
        <v>180000</v>
      </c>
      <c r="J40" s="34">
        <v>180500</v>
      </c>
    </row>
    <row r="41" spans="1:10" ht="15.6" x14ac:dyDescent="0.3">
      <c r="A41" s="33">
        <v>45658</v>
      </c>
      <c r="B41" s="23" t="s">
        <v>14</v>
      </c>
      <c r="C41" s="23">
        <v>8700</v>
      </c>
      <c r="D41" s="23">
        <v>8600</v>
      </c>
      <c r="E41" s="34">
        <v>800</v>
      </c>
      <c r="F41" s="34">
        <v>803</v>
      </c>
      <c r="G41" s="34">
        <v>500</v>
      </c>
      <c r="H41" s="34">
        <v>498.5</v>
      </c>
      <c r="I41" s="34">
        <v>300000</v>
      </c>
      <c r="J41" s="34">
        <v>301000</v>
      </c>
    </row>
    <row r="42" spans="1:10" ht="15.6" x14ac:dyDescent="0.3">
      <c r="A42" s="33">
        <v>45689</v>
      </c>
      <c r="B42" s="23" t="s">
        <v>11</v>
      </c>
      <c r="C42" s="23">
        <v>14000</v>
      </c>
      <c r="D42" s="23">
        <v>14200</v>
      </c>
      <c r="E42" s="34">
        <v>250</v>
      </c>
      <c r="F42" s="34">
        <v>251</v>
      </c>
      <c r="G42" s="34">
        <v>120</v>
      </c>
      <c r="H42" s="34">
        <v>121.8</v>
      </c>
      <c r="I42" s="34">
        <v>200000</v>
      </c>
      <c r="J42" s="34">
        <v>203500</v>
      </c>
    </row>
    <row r="43" spans="1:10" ht="15.6" x14ac:dyDescent="0.3">
      <c r="A43" s="33">
        <v>45689</v>
      </c>
      <c r="B43" s="23" t="s">
        <v>12</v>
      </c>
      <c r="C43" s="23">
        <v>27000</v>
      </c>
      <c r="D43" s="23">
        <v>27300</v>
      </c>
      <c r="E43" s="34">
        <v>150</v>
      </c>
      <c r="F43" s="34">
        <v>148.5</v>
      </c>
      <c r="G43" s="34">
        <v>70</v>
      </c>
      <c r="H43" s="34">
        <v>71</v>
      </c>
      <c r="I43" s="34">
        <v>150000</v>
      </c>
      <c r="J43" s="34">
        <v>152500</v>
      </c>
    </row>
    <row r="44" spans="1:10" ht="15.6" x14ac:dyDescent="0.3">
      <c r="A44" s="33">
        <v>45689</v>
      </c>
      <c r="B44" s="23" t="s">
        <v>13</v>
      </c>
      <c r="C44" s="23">
        <v>11500</v>
      </c>
      <c r="D44" s="23">
        <v>11800</v>
      </c>
      <c r="E44" s="34">
        <v>300</v>
      </c>
      <c r="F44" s="34">
        <v>297</v>
      </c>
      <c r="G44" s="34">
        <v>140</v>
      </c>
      <c r="H44" s="34">
        <v>141.5</v>
      </c>
      <c r="I44" s="34">
        <v>180000</v>
      </c>
      <c r="J44" s="34">
        <v>184000</v>
      </c>
    </row>
    <row r="45" spans="1:10" ht="15.6" x14ac:dyDescent="0.3">
      <c r="A45" s="33">
        <v>45689</v>
      </c>
      <c r="B45" s="23" t="s">
        <v>14</v>
      </c>
      <c r="C45" s="23">
        <v>8400</v>
      </c>
      <c r="D45" s="23">
        <v>8550</v>
      </c>
      <c r="E45" s="34">
        <v>800</v>
      </c>
      <c r="F45" s="34">
        <v>798</v>
      </c>
      <c r="G45" s="34">
        <v>500</v>
      </c>
      <c r="H45" s="34">
        <v>501.5</v>
      </c>
      <c r="I45" s="34">
        <v>300000</v>
      </c>
      <c r="J45" s="34">
        <v>306000</v>
      </c>
    </row>
    <row r="46" spans="1:10" ht="15.6" x14ac:dyDescent="0.3">
      <c r="A46" s="33">
        <v>45717</v>
      </c>
      <c r="B46" s="23" t="s">
        <v>11</v>
      </c>
      <c r="C46" s="23">
        <v>15000</v>
      </c>
      <c r="D46" s="23">
        <v>15500</v>
      </c>
      <c r="E46" s="34">
        <v>250</v>
      </c>
      <c r="F46" s="34">
        <v>247</v>
      </c>
      <c r="G46" s="34">
        <v>120</v>
      </c>
      <c r="H46" s="34">
        <v>123</v>
      </c>
      <c r="I46" s="34">
        <v>200000</v>
      </c>
      <c r="J46" s="34">
        <v>205500</v>
      </c>
    </row>
    <row r="47" spans="1:10" ht="15.6" x14ac:dyDescent="0.3">
      <c r="A47" s="33">
        <v>45717</v>
      </c>
      <c r="B47" s="23" t="s">
        <v>12</v>
      </c>
      <c r="C47" s="23">
        <v>25000</v>
      </c>
      <c r="D47" s="23">
        <v>25800</v>
      </c>
      <c r="E47" s="34">
        <v>150</v>
      </c>
      <c r="F47" s="34">
        <v>147.5</v>
      </c>
      <c r="G47" s="34">
        <v>70</v>
      </c>
      <c r="H47" s="34">
        <v>72.5</v>
      </c>
      <c r="I47" s="34">
        <v>150000</v>
      </c>
      <c r="J47" s="34">
        <v>154500</v>
      </c>
    </row>
    <row r="48" spans="1:10" ht="15.6" x14ac:dyDescent="0.3">
      <c r="A48" s="33">
        <v>45717</v>
      </c>
      <c r="B48" s="23" t="s">
        <v>13</v>
      </c>
      <c r="C48" s="23">
        <v>10000</v>
      </c>
      <c r="D48" s="23">
        <v>10500</v>
      </c>
      <c r="E48" s="34">
        <v>300</v>
      </c>
      <c r="F48" s="34">
        <v>294</v>
      </c>
      <c r="G48" s="34">
        <v>140</v>
      </c>
      <c r="H48" s="34">
        <v>145</v>
      </c>
      <c r="I48" s="34">
        <v>180000</v>
      </c>
      <c r="J48" s="34">
        <v>186500</v>
      </c>
    </row>
    <row r="49" spans="1:10" ht="15.6" x14ac:dyDescent="0.3">
      <c r="A49" s="33">
        <v>45717</v>
      </c>
      <c r="B49" s="23" t="s">
        <v>14</v>
      </c>
      <c r="C49" s="23">
        <v>8000</v>
      </c>
      <c r="D49" s="23">
        <v>8300</v>
      </c>
      <c r="E49" s="34">
        <v>800</v>
      </c>
      <c r="F49" s="34">
        <v>785</v>
      </c>
      <c r="G49" s="34">
        <v>500</v>
      </c>
      <c r="H49" s="34">
        <v>508</v>
      </c>
      <c r="I49" s="34">
        <v>300000</v>
      </c>
      <c r="J49" s="34">
        <v>310000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Visual Summary </vt:lpstr>
      <vt:lpstr>Dashboard</vt:lpstr>
      <vt:lpstr>Derived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valechha</dc:creator>
  <cp:lastModifiedBy>dev valechha</cp:lastModifiedBy>
  <cp:lastPrinted>2026-08-07T05:20:19Z</cp:lastPrinted>
  <dcterms:created xsi:type="dcterms:W3CDTF">2026-08-05T05:50:51Z</dcterms:created>
  <dcterms:modified xsi:type="dcterms:W3CDTF">2026-08-08T13:18:41Z</dcterms:modified>
</cp:coreProperties>
</file>